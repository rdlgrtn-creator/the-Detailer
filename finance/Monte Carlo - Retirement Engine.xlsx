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erdal.gurten\Downloads\"/>
    </mc:Choice>
  </mc:AlternateContent>
  <xr:revisionPtr revIDLastSave="0" documentId="13_ncr:1_{9757E505-8F94-4ADD-86A8-BD7109BA16A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tes" sheetId="5" r:id="rId1"/>
    <sheet name="Monte Carlo" sheetId="4" r:id="rId2"/>
  </sheets>
  <definedNames>
    <definedName name="_xlchart.v1.0" hidden="1">'Monte Carlo'!N2:N1002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 a="1"/>
  <c r="N2" i="4" s="1"/>
  <c r="F2" i="4" s="1" a="1"/>
  <c r="F2" i="4" s="1"/>
  <c r="L2" i="4" a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H73" i="4" a="1"/>
  <c r="H73" i="4" s="1"/>
  <c r="H74" i="4" a="1"/>
  <c r="H74" i="4" s="1"/>
  <c r="H75" i="4" a="1"/>
  <c r="H75" i="4" s="1"/>
  <c r="H76" i="4" a="1"/>
  <c r="H76" i="4" s="1"/>
  <c r="H77" i="4" a="1"/>
  <c r="H77" i="4" s="1"/>
  <c r="H78" i="4" a="1"/>
  <c r="H78" i="4" s="1"/>
  <c r="H79" i="4" a="1"/>
  <c r="H79" i="4" s="1"/>
  <c r="H80" i="4" a="1"/>
  <c r="H80" i="4" s="1"/>
  <c r="H81" i="4" a="1"/>
  <c r="H81" i="4" s="1"/>
  <c r="H82" i="4" a="1"/>
  <c r="H82" i="4" s="1"/>
  <c r="H83" i="4" a="1"/>
  <c r="H83" i="4" s="1"/>
  <c r="H84" i="4" a="1"/>
  <c r="H84" i="4" s="1"/>
  <c r="H85" i="4" a="1"/>
  <c r="H85" i="4" s="1"/>
  <c r="H86" i="4" a="1"/>
  <c r="H86" i="4" s="1"/>
  <c r="H87" i="4" a="1"/>
  <c r="H87" i="4" s="1"/>
  <c r="H88" i="4" a="1"/>
  <c r="H88" i="4" s="1"/>
  <c r="H89" i="4" a="1"/>
  <c r="H89" i="4" s="1"/>
  <c r="H90" i="4" a="1"/>
  <c r="H90" i="4" s="1"/>
  <c r="H91" i="4" a="1"/>
  <c r="H91" i="4" s="1"/>
  <c r="H92" i="4" a="1"/>
  <c r="H92" i="4" s="1"/>
  <c r="H93" i="4" a="1"/>
  <c r="H93" i="4" s="1"/>
  <c r="H94" i="4" a="1"/>
  <c r="H94" i="4" s="1"/>
  <c r="H95" i="4" a="1"/>
  <c r="H95" i="4" s="1"/>
  <c r="H96" i="4" a="1"/>
  <c r="H96" i="4" s="1"/>
  <c r="H97" i="4" a="1"/>
  <c r="H97" i="4" s="1"/>
  <c r="H98" i="4" a="1"/>
  <c r="H98" i="4" s="1"/>
  <c r="H99" i="4" a="1"/>
  <c r="H99" i="4" s="1"/>
  <c r="H100" i="4" a="1"/>
  <c r="H100" i="4" s="1"/>
  <c r="H101" i="4" a="1"/>
  <c r="H101" i="4" s="1"/>
  <c r="H102" i="4" a="1"/>
  <c r="H102" i="4" s="1"/>
  <c r="H103" i="4" a="1"/>
  <c r="H103" i="4" s="1"/>
  <c r="H104" i="4" a="1"/>
  <c r="H104" i="4" s="1"/>
  <c r="H105" i="4" a="1"/>
  <c r="H105" i="4" s="1"/>
  <c r="H106" i="4" a="1"/>
  <c r="H106" i="4" s="1"/>
  <c r="H107" i="4" a="1"/>
  <c r="H107" i="4" s="1"/>
  <c r="H108" i="4" a="1"/>
  <c r="H108" i="4" s="1"/>
  <c r="H109" i="4" a="1"/>
  <c r="H109" i="4" s="1"/>
  <c r="H110" i="4" a="1"/>
  <c r="H110" i="4" s="1"/>
  <c r="H111" i="4" a="1"/>
  <c r="H111" i="4" s="1"/>
  <c r="H112" i="4" a="1"/>
  <c r="H112" i="4" s="1"/>
  <c r="H113" i="4" a="1"/>
  <c r="H113" i="4" s="1"/>
  <c r="H114" i="4" a="1"/>
  <c r="H114" i="4" s="1"/>
  <c r="H115" i="4" a="1"/>
  <c r="H115" i="4" s="1"/>
  <c r="H116" i="4" a="1"/>
  <c r="H116" i="4" s="1"/>
  <c r="H117" i="4" a="1"/>
  <c r="H117" i="4" s="1"/>
  <c r="H118" i="4" a="1"/>
  <c r="H118" i="4" s="1"/>
  <c r="H119" i="4" a="1"/>
  <c r="H119" i="4" s="1"/>
  <c r="H120" i="4" a="1"/>
  <c r="H120" i="4" s="1"/>
  <c r="H121" i="4" a="1"/>
  <c r="H121" i="4" s="1"/>
  <c r="H122" i="4" a="1"/>
  <c r="H122" i="4" s="1"/>
  <c r="H123" i="4" a="1"/>
  <c r="H123" i="4" s="1"/>
  <c r="H124" i="4" a="1"/>
  <c r="H124" i="4" s="1"/>
  <c r="H125" i="4" a="1"/>
  <c r="H125" i="4" s="1"/>
  <c r="H126" i="4" a="1"/>
  <c r="H126" i="4" s="1"/>
  <c r="H127" i="4" a="1"/>
  <c r="H127" i="4" s="1"/>
  <c r="H128" i="4" a="1"/>
  <c r="H128" i="4" s="1"/>
  <c r="H129" i="4" a="1"/>
  <c r="H129" i="4" s="1"/>
  <c r="H130" i="4" a="1"/>
  <c r="H130" i="4" s="1"/>
  <c r="H131" i="4" a="1"/>
  <c r="H131" i="4" s="1"/>
  <c r="H132" i="4" a="1"/>
  <c r="H132" i="4" s="1"/>
  <c r="H133" i="4" a="1"/>
  <c r="H133" i="4" s="1"/>
  <c r="H134" i="4" a="1"/>
  <c r="H134" i="4" s="1"/>
  <c r="H135" i="4" a="1"/>
  <c r="H135" i="4" s="1"/>
  <c r="H136" i="4" a="1"/>
  <c r="H136" i="4" s="1"/>
  <c r="H137" i="4" a="1"/>
  <c r="H137" i="4" s="1"/>
  <c r="H138" i="4" a="1"/>
  <c r="H138" i="4" s="1"/>
  <c r="H139" i="4" a="1"/>
  <c r="H139" i="4" s="1"/>
  <c r="H140" i="4" a="1"/>
  <c r="H140" i="4" s="1"/>
  <c r="H141" i="4" a="1"/>
  <c r="H141" i="4" s="1"/>
  <c r="H142" i="4" a="1"/>
  <c r="H142" i="4" s="1"/>
  <c r="H143" i="4" a="1"/>
  <c r="H143" i="4" s="1"/>
  <c r="H144" i="4" a="1"/>
  <c r="H144" i="4" s="1"/>
  <c r="H145" i="4" a="1"/>
  <c r="H145" i="4" s="1"/>
  <c r="H146" i="4" a="1"/>
  <c r="H146" i="4" s="1"/>
  <c r="H147" i="4" a="1"/>
  <c r="H147" i="4" s="1"/>
  <c r="H148" i="4" a="1"/>
  <c r="H148" i="4" s="1"/>
  <c r="H149" i="4" a="1"/>
  <c r="H149" i="4" s="1"/>
  <c r="H150" i="4" a="1"/>
  <c r="H150" i="4" s="1"/>
  <c r="H151" i="4" a="1"/>
  <c r="H151" i="4" s="1"/>
  <c r="H152" i="4" a="1"/>
  <c r="H152" i="4" s="1"/>
  <c r="H153" i="4" a="1"/>
  <c r="H153" i="4" s="1"/>
  <c r="H154" i="4" a="1"/>
  <c r="H154" i="4" s="1"/>
  <c r="H155" i="4" a="1"/>
  <c r="H155" i="4" s="1"/>
  <c r="H156" i="4" a="1"/>
  <c r="H156" i="4" s="1"/>
  <c r="H157" i="4" a="1"/>
  <c r="H157" i="4" s="1"/>
  <c r="H158" i="4" a="1"/>
  <c r="H158" i="4" s="1"/>
  <c r="H159" i="4" a="1"/>
  <c r="H159" i="4" s="1"/>
  <c r="H160" i="4" a="1"/>
  <c r="H160" i="4" s="1"/>
  <c r="H161" i="4" a="1"/>
  <c r="H161" i="4" s="1"/>
  <c r="H162" i="4" a="1"/>
  <c r="H162" i="4" s="1"/>
  <c r="H163" i="4" a="1"/>
  <c r="H163" i="4" s="1"/>
  <c r="H164" i="4" a="1"/>
  <c r="H164" i="4" s="1"/>
  <c r="H165" i="4" a="1"/>
  <c r="H165" i="4" s="1"/>
  <c r="H166" i="4" a="1"/>
  <c r="H166" i="4" s="1"/>
  <c r="H167" i="4" a="1"/>
  <c r="H167" i="4" s="1"/>
  <c r="H168" i="4" a="1"/>
  <c r="H168" i="4" s="1"/>
  <c r="H169" i="4" a="1"/>
  <c r="H169" i="4" s="1"/>
  <c r="H170" i="4" a="1"/>
  <c r="H170" i="4" s="1"/>
  <c r="H171" i="4" a="1"/>
  <c r="H171" i="4" s="1"/>
  <c r="H172" i="4" a="1"/>
  <c r="H172" i="4" s="1"/>
  <c r="H173" i="4" a="1"/>
  <c r="H173" i="4" s="1"/>
  <c r="H174" i="4" a="1"/>
  <c r="H174" i="4" s="1"/>
  <c r="H175" i="4" a="1"/>
  <c r="H175" i="4" s="1"/>
  <c r="H176" i="4" a="1"/>
  <c r="H176" i="4" s="1"/>
  <c r="H177" i="4" a="1"/>
  <c r="H177" i="4" s="1"/>
  <c r="H178" i="4" a="1"/>
  <c r="H178" i="4" s="1"/>
  <c r="H179" i="4" a="1"/>
  <c r="H179" i="4" s="1"/>
  <c r="H180" i="4" a="1"/>
  <c r="H180" i="4" s="1"/>
  <c r="H181" i="4" a="1"/>
  <c r="H181" i="4" s="1"/>
  <c r="H182" i="4" a="1"/>
  <c r="H182" i="4" s="1"/>
  <c r="H183" i="4" a="1"/>
  <c r="H183" i="4" s="1"/>
  <c r="H184" i="4" a="1"/>
  <c r="H184" i="4" s="1"/>
  <c r="H185" i="4" a="1"/>
  <c r="H185" i="4" s="1"/>
  <c r="H186" i="4" a="1"/>
  <c r="H186" i="4" s="1"/>
  <c r="H187" i="4" a="1"/>
  <c r="H187" i="4" s="1"/>
  <c r="H188" i="4" a="1"/>
  <c r="H188" i="4" s="1"/>
  <c r="H189" i="4" a="1"/>
  <c r="H189" i="4" s="1"/>
  <c r="H190" i="4" a="1"/>
  <c r="H190" i="4" s="1"/>
  <c r="H191" i="4" a="1"/>
  <c r="H191" i="4" s="1"/>
  <c r="H192" i="4" a="1"/>
  <c r="H192" i="4" s="1"/>
  <c r="H193" i="4" a="1"/>
  <c r="H193" i="4" s="1"/>
  <c r="H194" i="4" a="1"/>
  <c r="H194" i="4" s="1"/>
  <c r="H195" i="4" a="1"/>
  <c r="H195" i="4" s="1"/>
  <c r="H196" i="4" a="1"/>
  <c r="H196" i="4" s="1"/>
  <c r="H197" i="4" a="1"/>
  <c r="H197" i="4" s="1"/>
  <c r="H198" i="4" a="1"/>
  <c r="H198" i="4" s="1"/>
  <c r="H199" i="4" a="1"/>
  <c r="H199" i="4" s="1"/>
  <c r="H200" i="4" a="1"/>
  <c r="H200" i="4" s="1"/>
  <c r="H201" i="4" a="1"/>
  <c r="H201" i="4" s="1"/>
  <c r="H202" i="4" a="1"/>
  <c r="H202" i="4" s="1"/>
  <c r="H203" i="4" a="1"/>
  <c r="H203" i="4" s="1"/>
  <c r="H204" i="4" a="1"/>
  <c r="H204" i="4" s="1"/>
  <c r="H205" i="4" a="1"/>
  <c r="H205" i="4" s="1"/>
  <c r="H206" i="4" a="1"/>
  <c r="H206" i="4" s="1"/>
  <c r="H207" i="4" a="1"/>
  <c r="H207" i="4" s="1"/>
  <c r="H208" i="4" a="1"/>
  <c r="H208" i="4" s="1"/>
  <c r="H209" i="4" a="1"/>
  <c r="H209" i="4" s="1"/>
  <c r="H210" i="4" a="1"/>
  <c r="H210" i="4" s="1"/>
  <c r="H211" i="4" a="1"/>
  <c r="H211" i="4" s="1"/>
  <c r="H212" i="4" a="1"/>
  <c r="H212" i="4" s="1"/>
  <c r="H213" i="4" a="1"/>
  <c r="H213" i="4" s="1"/>
  <c r="H214" i="4" a="1"/>
  <c r="H214" i="4" s="1"/>
  <c r="H215" i="4" a="1"/>
  <c r="H215" i="4" s="1"/>
  <c r="H216" i="4" a="1"/>
  <c r="H216" i="4" s="1"/>
  <c r="H217" i="4" a="1"/>
  <c r="H217" i="4" s="1"/>
  <c r="H218" i="4" a="1"/>
  <c r="H218" i="4" s="1"/>
  <c r="H219" i="4" a="1"/>
  <c r="H219" i="4" s="1"/>
  <c r="H220" i="4" a="1"/>
  <c r="H220" i="4" s="1"/>
  <c r="H221" i="4" a="1"/>
  <c r="H221" i="4" s="1"/>
  <c r="H222" i="4" a="1"/>
  <c r="H222" i="4" s="1"/>
  <c r="H223" i="4" a="1"/>
  <c r="H223" i="4" s="1"/>
  <c r="H224" i="4" a="1"/>
  <c r="H224" i="4" s="1"/>
  <c r="H225" i="4" a="1"/>
  <c r="H225" i="4" s="1"/>
  <c r="H226" i="4" a="1"/>
  <c r="H226" i="4" s="1"/>
  <c r="H227" i="4" a="1"/>
  <c r="H227" i="4" s="1"/>
  <c r="H228" i="4" a="1"/>
  <c r="H228" i="4" s="1"/>
  <c r="H229" i="4" a="1"/>
  <c r="H229" i="4" s="1"/>
  <c r="H230" i="4" a="1"/>
  <c r="H230" i="4" s="1"/>
  <c r="H231" i="4" a="1"/>
  <c r="H231" i="4" s="1"/>
  <c r="H232" i="4" a="1"/>
  <c r="H232" i="4" s="1"/>
  <c r="H233" i="4" a="1"/>
  <c r="H233" i="4" s="1"/>
  <c r="H234" i="4" a="1"/>
  <c r="H234" i="4" s="1"/>
  <c r="H235" i="4" a="1"/>
  <c r="H235" i="4" s="1"/>
  <c r="H236" i="4" a="1"/>
  <c r="H236" i="4" s="1"/>
  <c r="H237" i="4" a="1"/>
  <c r="H237" i="4" s="1"/>
  <c r="H238" i="4" a="1"/>
  <c r="H238" i="4" s="1"/>
  <c r="H239" i="4" a="1"/>
  <c r="H239" i="4" s="1"/>
  <c r="H240" i="4" a="1"/>
  <c r="H240" i="4" s="1"/>
  <c r="H241" i="4" a="1"/>
  <c r="H241" i="4" s="1"/>
  <c r="H242" i="4" a="1"/>
  <c r="H242" i="4" s="1"/>
  <c r="H243" i="4" a="1"/>
  <c r="H243" i="4" s="1"/>
  <c r="H244" i="4" a="1"/>
  <c r="H244" i="4" s="1"/>
  <c r="H245" i="4" a="1"/>
  <c r="H245" i="4" s="1"/>
  <c r="H246" i="4" a="1"/>
  <c r="H246" i="4" s="1"/>
  <c r="H247" i="4" a="1"/>
  <c r="H247" i="4" s="1"/>
  <c r="H248" i="4" a="1"/>
  <c r="H248" i="4" s="1"/>
  <c r="H249" i="4" a="1"/>
  <c r="H249" i="4" s="1"/>
  <c r="H250" i="4" a="1"/>
  <c r="H250" i="4" s="1"/>
  <c r="H251" i="4" a="1"/>
  <c r="H251" i="4" s="1"/>
  <c r="H252" i="4" a="1"/>
  <c r="H252" i="4" s="1"/>
  <c r="H253" i="4" a="1"/>
  <c r="H253" i="4" s="1"/>
  <c r="H254" i="4" a="1"/>
  <c r="H254" i="4" s="1"/>
  <c r="H255" i="4" a="1"/>
  <c r="H255" i="4" s="1"/>
  <c r="H256" i="4" a="1"/>
  <c r="H256" i="4" s="1"/>
  <c r="H257" i="4" a="1"/>
  <c r="H257" i="4" s="1"/>
  <c r="H258" i="4" a="1"/>
  <c r="H258" i="4" s="1"/>
  <c r="H259" i="4" a="1"/>
  <c r="H259" i="4" s="1"/>
  <c r="H260" i="4" a="1"/>
  <c r="H260" i="4" s="1"/>
  <c r="H261" i="4" a="1"/>
  <c r="H261" i="4" s="1"/>
  <c r="H262" i="4" a="1"/>
  <c r="H262" i="4" s="1"/>
  <c r="H263" i="4" a="1"/>
  <c r="H263" i="4" s="1"/>
  <c r="H264" i="4" a="1"/>
  <c r="H264" i="4" s="1"/>
  <c r="H265" i="4" a="1"/>
  <c r="H265" i="4" s="1"/>
  <c r="H266" i="4" a="1"/>
  <c r="H266" i="4" s="1"/>
  <c r="H267" i="4" a="1"/>
  <c r="H267" i="4" s="1"/>
  <c r="H268" i="4" a="1"/>
  <c r="H268" i="4" s="1"/>
  <c r="H269" i="4" a="1"/>
  <c r="H269" i="4" s="1"/>
  <c r="H270" i="4" a="1"/>
  <c r="H270" i="4" s="1"/>
  <c r="H271" i="4" a="1"/>
  <c r="H271" i="4" s="1"/>
  <c r="H272" i="4" a="1"/>
  <c r="H272" i="4" s="1"/>
  <c r="H273" i="4" a="1"/>
  <c r="H273" i="4" s="1"/>
  <c r="H274" i="4" a="1"/>
  <c r="H274" i="4" s="1"/>
  <c r="H275" i="4" a="1"/>
  <c r="H275" i="4" s="1"/>
  <c r="H276" i="4" a="1"/>
  <c r="H276" i="4" s="1"/>
  <c r="H277" i="4" a="1"/>
  <c r="H277" i="4" s="1"/>
  <c r="H278" i="4" a="1"/>
  <c r="H278" i="4" s="1"/>
  <c r="H279" i="4" a="1"/>
  <c r="H279" i="4" s="1"/>
  <c r="H280" i="4" a="1"/>
  <c r="H280" i="4" s="1"/>
  <c r="H281" i="4" a="1"/>
  <c r="H281" i="4" s="1"/>
  <c r="H282" i="4" a="1"/>
  <c r="H282" i="4" s="1"/>
  <c r="H283" i="4" a="1"/>
  <c r="H283" i="4" s="1"/>
  <c r="H284" i="4" a="1"/>
  <c r="H284" i="4" s="1"/>
  <c r="H285" i="4" a="1"/>
  <c r="H285" i="4" s="1"/>
  <c r="H286" i="4" a="1"/>
  <c r="H286" i="4" s="1"/>
  <c r="H287" i="4" a="1"/>
  <c r="H287" i="4" s="1"/>
  <c r="H288" i="4" a="1"/>
  <c r="H288" i="4" s="1"/>
  <c r="H289" i="4" a="1"/>
  <c r="H289" i="4" s="1"/>
  <c r="H290" i="4" a="1"/>
  <c r="H290" i="4" s="1"/>
  <c r="H291" i="4" a="1"/>
  <c r="H291" i="4" s="1"/>
  <c r="H292" i="4" a="1"/>
  <c r="H292" i="4" s="1"/>
  <c r="H293" i="4" a="1"/>
  <c r="H293" i="4" s="1"/>
  <c r="H294" i="4" a="1"/>
  <c r="H294" i="4" s="1"/>
  <c r="H295" i="4" a="1"/>
  <c r="H295" i="4" s="1"/>
  <c r="H296" i="4" a="1"/>
  <c r="H296" i="4" s="1"/>
  <c r="H297" i="4" a="1"/>
  <c r="H297" i="4" s="1"/>
  <c r="H298" i="4" a="1"/>
  <c r="H298" i="4" s="1"/>
  <c r="H299" i="4" a="1"/>
  <c r="H299" i="4" s="1"/>
  <c r="H300" i="4" a="1"/>
  <c r="H300" i="4" s="1"/>
  <c r="H301" i="4" a="1"/>
  <c r="H301" i="4" s="1"/>
  <c r="H302" i="4" a="1"/>
  <c r="H302" i="4" s="1"/>
  <c r="H303" i="4" a="1"/>
  <c r="H303" i="4" s="1"/>
  <c r="H304" i="4" a="1"/>
  <c r="H304" i="4" s="1"/>
  <c r="H305" i="4" a="1"/>
  <c r="H305" i="4" s="1"/>
  <c r="H306" i="4" a="1"/>
  <c r="H306" i="4" s="1"/>
  <c r="H307" i="4" a="1"/>
  <c r="H307" i="4" s="1"/>
  <c r="H308" i="4" a="1"/>
  <c r="H308" i="4" s="1"/>
  <c r="H309" i="4" a="1"/>
  <c r="H309" i="4" s="1"/>
  <c r="H310" i="4" a="1"/>
  <c r="H310" i="4" s="1"/>
  <c r="H311" i="4" a="1"/>
  <c r="H311" i="4" s="1"/>
  <c r="H312" i="4" a="1"/>
  <c r="H312" i="4" s="1"/>
  <c r="H313" i="4" a="1"/>
  <c r="H313" i="4" s="1"/>
  <c r="H314" i="4" a="1"/>
  <c r="H314" i="4" s="1"/>
  <c r="H315" i="4" a="1"/>
  <c r="H315" i="4" s="1"/>
  <c r="H316" i="4" a="1"/>
  <c r="H316" i="4" s="1"/>
  <c r="H317" i="4" a="1"/>
  <c r="H317" i="4" s="1"/>
  <c r="H318" i="4" a="1"/>
  <c r="H318" i="4" s="1"/>
  <c r="H319" i="4" a="1"/>
  <c r="H319" i="4" s="1"/>
  <c r="H320" i="4" a="1"/>
  <c r="H320" i="4" s="1"/>
  <c r="H321" i="4" a="1"/>
  <c r="H321" i="4" s="1"/>
  <c r="H322" i="4" a="1"/>
  <c r="H322" i="4" s="1"/>
  <c r="H323" i="4" a="1"/>
  <c r="H323" i="4" s="1"/>
  <c r="H324" i="4" a="1"/>
  <c r="H324" i="4" s="1"/>
  <c r="H325" i="4" a="1"/>
  <c r="H325" i="4" s="1"/>
  <c r="H326" i="4" a="1"/>
  <c r="H326" i="4" s="1"/>
  <c r="H327" i="4" a="1"/>
  <c r="H327" i="4" s="1"/>
  <c r="H328" i="4" a="1"/>
  <c r="H328" i="4" s="1"/>
  <c r="H329" i="4" a="1"/>
  <c r="H329" i="4" s="1"/>
  <c r="H330" i="4" a="1"/>
  <c r="H330" i="4" s="1"/>
  <c r="H331" i="4" a="1"/>
  <c r="H331" i="4" s="1"/>
  <c r="H332" i="4" a="1"/>
  <c r="H332" i="4" s="1"/>
  <c r="H333" i="4" a="1"/>
  <c r="H333" i="4" s="1"/>
  <c r="H334" i="4" a="1"/>
  <c r="H334" i="4" s="1"/>
  <c r="H335" i="4" a="1"/>
  <c r="H335" i="4" s="1"/>
  <c r="H336" i="4" a="1"/>
  <c r="H336" i="4" s="1"/>
  <c r="H337" i="4" a="1"/>
  <c r="H337" i="4" s="1"/>
  <c r="H338" i="4" a="1"/>
  <c r="H338" i="4" s="1"/>
  <c r="H339" i="4" a="1"/>
  <c r="H339" i="4" s="1"/>
  <c r="H340" i="4" a="1"/>
  <c r="H340" i="4" s="1"/>
  <c r="H341" i="4" a="1"/>
  <c r="H341" i="4" s="1"/>
  <c r="H342" i="4" a="1"/>
  <c r="H342" i="4" s="1"/>
  <c r="H343" i="4" a="1"/>
  <c r="H343" i="4" s="1"/>
  <c r="H344" i="4" a="1"/>
  <c r="H344" i="4" s="1"/>
  <c r="H345" i="4" a="1"/>
  <c r="H345" i="4" s="1"/>
  <c r="H346" i="4" a="1"/>
  <c r="H346" i="4" s="1"/>
  <c r="H347" i="4" a="1"/>
  <c r="H347" i="4" s="1"/>
  <c r="H348" i="4" a="1"/>
  <c r="H348" i="4" s="1"/>
  <c r="H349" i="4" a="1"/>
  <c r="H349" i="4" s="1"/>
  <c r="H350" i="4" a="1"/>
  <c r="H350" i="4" s="1"/>
  <c r="H351" i="4" a="1"/>
  <c r="H351" i="4" s="1"/>
  <c r="H352" i="4" a="1"/>
  <c r="H352" i="4" s="1"/>
  <c r="H353" i="4" a="1"/>
  <c r="H353" i="4" s="1"/>
  <c r="H354" i="4" a="1"/>
  <c r="H354" i="4" s="1"/>
  <c r="H355" i="4" a="1"/>
  <c r="H355" i="4" s="1"/>
  <c r="H356" i="4" a="1"/>
  <c r="H356" i="4" s="1"/>
  <c r="H357" i="4" a="1"/>
  <c r="H357" i="4" s="1"/>
  <c r="H358" i="4" a="1"/>
  <c r="H358" i="4" s="1"/>
  <c r="H359" i="4" a="1"/>
  <c r="H359" i="4" s="1"/>
  <c r="H360" i="4" a="1"/>
  <c r="H360" i="4" s="1"/>
  <c r="H361" i="4" a="1"/>
  <c r="H361" i="4" s="1"/>
  <c r="H362" i="4" a="1"/>
  <c r="H362" i="4" s="1"/>
  <c r="H363" i="4" a="1"/>
  <c r="H363" i="4" s="1"/>
  <c r="H364" i="4" a="1"/>
  <c r="H364" i="4" s="1"/>
  <c r="H365" i="4" a="1"/>
  <c r="H365" i="4" s="1"/>
  <c r="H366" i="4" a="1"/>
  <c r="H366" i="4" s="1"/>
  <c r="H367" i="4" a="1"/>
  <c r="H367" i="4" s="1"/>
  <c r="H368" i="4" a="1"/>
  <c r="H368" i="4" s="1"/>
  <c r="H369" i="4" a="1"/>
  <c r="H369" i="4" s="1"/>
  <c r="H370" i="4" a="1"/>
  <c r="H370" i="4" s="1"/>
  <c r="H371" i="4" a="1"/>
  <c r="H371" i="4" s="1"/>
  <c r="H372" i="4" a="1"/>
  <c r="H372" i="4" s="1"/>
  <c r="H373" i="4" a="1"/>
  <c r="H373" i="4" s="1"/>
  <c r="H374" i="4" a="1"/>
  <c r="H374" i="4" s="1"/>
  <c r="H375" i="4" a="1"/>
  <c r="H375" i="4" s="1"/>
  <c r="H376" i="4" a="1"/>
  <c r="H376" i="4" s="1"/>
  <c r="H377" i="4" a="1"/>
  <c r="H377" i="4" s="1"/>
  <c r="H378" i="4" a="1"/>
  <c r="H378" i="4" s="1"/>
  <c r="H379" i="4" a="1"/>
  <c r="H379" i="4" s="1"/>
  <c r="H380" i="4" a="1"/>
  <c r="H380" i="4" s="1"/>
  <c r="H381" i="4" a="1"/>
  <c r="H381" i="4" s="1"/>
  <c r="H382" i="4" a="1"/>
  <c r="H382" i="4" s="1"/>
  <c r="H383" i="4" a="1"/>
  <c r="H383" i="4" s="1"/>
  <c r="H384" i="4" a="1"/>
  <c r="H384" i="4" s="1"/>
  <c r="H385" i="4" a="1"/>
  <c r="H385" i="4" s="1"/>
  <c r="H386" i="4" a="1"/>
  <c r="H386" i="4" s="1"/>
  <c r="H387" i="4" a="1"/>
  <c r="H387" i="4" s="1"/>
  <c r="H388" i="4" a="1"/>
  <c r="H388" i="4" s="1"/>
  <c r="H389" i="4" a="1"/>
  <c r="H389" i="4" s="1"/>
  <c r="H390" i="4" a="1"/>
  <c r="H390" i="4" s="1"/>
  <c r="H391" i="4" a="1"/>
  <c r="H391" i="4" s="1"/>
  <c r="H392" i="4" a="1"/>
  <c r="H392" i="4" s="1"/>
  <c r="H393" i="4" a="1"/>
  <c r="H393" i="4" s="1"/>
  <c r="H394" i="4" a="1"/>
  <c r="H394" i="4" s="1"/>
  <c r="H395" i="4" a="1"/>
  <c r="H395" i="4" s="1"/>
  <c r="H396" i="4" a="1"/>
  <c r="H396" i="4" s="1"/>
  <c r="H397" i="4" a="1"/>
  <c r="H397" i="4" s="1"/>
  <c r="H398" i="4" a="1"/>
  <c r="H398" i="4" s="1"/>
  <c r="H399" i="4" a="1"/>
  <c r="H399" i="4" s="1"/>
  <c r="H400" i="4" a="1"/>
  <c r="H400" i="4" s="1"/>
  <c r="H401" i="4" a="1"/>
  <c r="H401" i="4" s="1"/>
  <c r="H402" i="4" a="1"/>
  <c r="H402" i="4" s="1"/>
  <c r="H403" i="4" a="1"/>
  <c r="H403" i="4" s="1"/>
  <c r="H404" i="4" a="1"/>
  <c r="H404" i="4" s="1"/>
  <c r="H405" i="4" a="1"/>
  <c r="H405" i="4" s="1"/>
  <c r="H406" i="4" a="1"/>
  <c r="H406" i="4" s="1"/>
  <c r="H407" i="4" a="1"/>
  <c r="H407" i="4" s="1"/>
  <c r="H408" i="4" a="1"/>
  <c r="H408" i="4" s="1"/>
  <c r="H409" i="4" a="1"/>
  <c r="H409" i="4" s="1"/>
  <c r="H410" i="4" a="1"/>
  <c r="H410" i="4" s="1"/>
  <c r="H411" i="4" a="1"/>
  <c r="H411" i="4" s="1"/>
  <c r="H412" i="4" a="1"/>
  <c r="H412" i="4" s="1"/>
  <c r="H413" i="4" a="1"/>
  <c r="H413" i="4" s="1"/>
  <c r="H414" i="4" a="1"/>
  <c r="H414" i="4" s="1"/>
  <c r="H415" i="4" a="1"/>
  <c r="H415" i="4" s="1"/>
  <c r="H416" i="4" a="1"/>
  <c r="H416" i="4" s="1"/>
  <c r="H417" i="4" a="1"/>
  <c r="H417" i="4" s="1"/>
  <c r="H418" i="4" a="1"/>
  <c r="H418" i="4" s="1"/>
  <c r="H419" i="4" a="1"/>
  <c r="H419" i="4" s="1"/>
  <c r="H420" i="4" a="1"/>
  <c r="H420" i="4" s="1"/>
  <c r="H421" i="4" a="1"/>
  <c r="H421" i="4" s="1"/>
  <c r="H422" i="4" a="1"/>
  <c r="H422" i="4" s="1"/>
  <c r="H423" i="4" a="1"/>
  <c r="H423" i="4" s="1"/>
  <c r="H424" i="4" a="1"/>
  <c r="H424" i="4" s="1"/>
  <c r="H425" i="4" a="1"/>
  <c r="H425" i="4" s="1"/>
  <c r="H426" i="4" a="1"/>
  <c r="H426" i="4" s="1"/>
  <c r="H427" i="4" a="1"/>
  <c r="H427" i="4" s="1"/>
  <c r="H428" i="4" a="1"/>
  <c r="H428" i="4" s="1"/>
  <c r="H429" i="4" a="1"/>
  <c r="H429" i="4" s="1"/>
  <c r="H430" i="4" a="1"/>
  <c r="H430" i="4" s="1"/>
  <c r="H431" i="4" a="1"/>
  <c r="H431" i="4" s="1"/>
  <c r="H432" i="4" a="1"/>
  <c r="H432" i="4" s="1"/>
  <c r="H433" i="4" a="1"/>
  <c r="H433" i="4" s="1"/>
  <c r="H434" i="4" a="1"/>
  <c r="H434" i="4" s="1"/>
  <c r="H435" i="4" a="1"/>
  <c r="H435" i="4" s="1"/>
  <c r="H436" i="4" a="1"/>
  <c r="H436" i="4" s="1"/>
  <c r="H437" i="4" a="1"/>
  <c r="H437" i="4" s="1"/>
  <c r="H438" i="4" a="1"/>
  <c r="H438" i="4" s="1"/>
  <c r="H439" i="4" a="1"/>
  <c r="H439" i="4" s="1"/>
  <c r="H440" i="4" a="1"/>
  <c r="H440" i="4" s="1"/>
  <c r="H441" i="4" a="1"/>
  <c r="H441" i="4" s="1"/>
  <c r="H442" i="4" a="1"/>
  <c r="H442" i="4" s="1"/>
  <c r="H443" i="4" a="1"/>
  <c r="H443" i="4" s="1"/>
  <c r="H444" i="4" a="1"/>
  <c r="H444" i="4" s="1"/>
  <c r="H445" i="4" a="1"/>
  <c r="H445" i="4" s="1"/>
  <c r="H446" i="4" a="1"/>
  <c r="H446" i="4" s="1"/>
  <c r="H447" i="4" a="1"/>
  <c r="H447" i="4" s="1"/>
  <c r="H448" i="4" a="1"/>
  <c r="H448" i="4" s="1"/>
  <c r="H449" i="4" a="1"/>
  <c r="H449" i="4" s="1"/>
  <c r="H450" i="4" a="1"/>
  <c r="H450" i="4" s="1"/>
  <c r="H451" i="4" a="1"/>
  <c r="H451" i="4" s="1"/>
  <c r="H452" i="4" a="1"/>
  <c r="H452" i="4" s="1"/>
  <c r="H453" i="4" a="1"/>
  <c r="H453" i="4" s="1"/>
  <c r="H454" i="4" a="1"/>
  <c r="H454" i="4" s="1"/>
  <c r="H455" i="4" a="1"/>
  <c r="H455" i="4" s="1"/>
  <c r="H456" i="4" a="1"/>
  <c r="H456" i="4" s="1"/>
  <c r="H457" i="4" a="1"/>
  <c r="H457" i="4" s="1"/>
  <c r="H458" i="4" a="1"/>
  <c r="H458" i="4" s="1"/>
  <c r="H459" i="4" a="1"/>
  <c r="H459" i="4" s="1"/>
  <c r="H460" i="4" a="1"/>
  <c r="H460" i="4" s="1"/>
  <c r="H461" i="4" a="1"/>
  <c r="H461" i="4" s="1"/>
  <c r="H462" i="4" a="1"/>
  <c r="H462" i="4" s="1"/>
  <c r="H463" i="4" a="1"/>
  <c r="H463" i="4" s="1"/>
  <c r="H464" i="4" a="1"/>
  <c r="H464" i="4" s="1"/>
  <c r="H465" i="4" a="1"/>
  <c r="H465" i="4" s="1"/>
  <c r="H466" i="4" a="1"/>
  <c r="H466" i="4" s="1"/>
  <c r="H467" i="4" a="1"/>
  <c r="H467" i="4" s="1"/>
  <c r="H468" i="4" a="1"/>
  <c r="H468" i="4" s="1"/>
  <c r="H469" i="4" a="1"/>
  <c r="H469" i="4" s="1"/>
  <c r="H470" i="4" a="1"/>
  <c r="H470" i="4" s="1"/>
  <c r="H471" i="4" a="1"/>
  <c r="H471" i="4" s="1"/>
  <c r="H472" i="4" a="1"/>
  <c r="H472" i="4" s="1"/>
  <c r="H473" i="4" a="1"/>
  <c r="H473" i="4" s="1"/>
  <c r="H474" i="4" a="1"/>
  <c r="H474" i="4" s="1"/>
  <c r="H475" i="4" a="1"/>
  <c r="H475" i="4" s="1"/>
  <c r="H476" i="4" a="1"/>
  <c r="H476" i="4" s="1"/>
  <c r="H477" i="4" a="1"/>
  <c r="H477" i="4" s="1"/>
  <c r="H478" i="4" a="1"/>
  <c r="H478" i="4" s="1"/>
  <c r="H479" i="4" a="1"/>
  <c r="H479" i="4" s="1"/>
  <c r="H480" i="4" a="1"/>
  <c r="H480" i="4" s="1"/>
  <c r="H481" i="4" a="1"/>
  <c r="H481" i="4" s="1"/>
  <c r="H482" i="4" a="1"/>
  <c r="H482" i="4" s="1"/>
  <c r="H483" i="4" a="1"/>
  <c r="H483" i="4" s="1"/>
  <c r="H484" i="4" a="1"/>
  <c r="H484" i="4" s="1"/>
  <c r="H485" i="4" a="1"/>
  <c r="H485" i="4" s="1"/>
  <c r="H486" i="4" a="1"/>
  <c r="H486" i="4" s="1"/>
  <c r="H487" i="4" a="1"/>
  <c r="H487" i="4" s="1"/>
  <c r="H488" i="4" a="1"/>
  <c r="H488" i="4" s="1"/>
  <c r="H489" i="4" a="1"/>
  <c r="H489" i="4" s="1"/>
  <c r="H490" i="4" a="1"/>
  <c r="H490" i="4" s="1"/>
  <c r="H491" i="4" a="1"/>
  <c r="H491" i="4" s="1"/>
  <c r="H492" i="4" a="1"/>
  <c r="H492" i="4" s="1"/>
  <c r="H493" i="4" a="1"/>
  <c r="H493" i="4" s="1"/>
  <c r="H494" i="4" a="1"/>
  <c r="H494" i="4" s="1"/>
  <c r="H495" i="4" a="1"/>
  <c r="H495" i="4" s="1"/>
  <c r="H496" i="4" a="1"/>
  <c r="H496" i="4" s="1"/>
  <c r="H497" i="4" a="1"/>
  <c r="H497" i="4" s="1"/>
  <c r="H498" i="4" a="1"/>
  <c r="H498" i="4" s="1"/>
  <c r="H499" i="4" a="1"/>
  <c r="H499" i="4" s="1"/>
  <c r="H500" i="4" a="1"/>
  <c r="H500" i="4" s="1"/>
  <c r="H501" i="4" a="1"/>
  <c r="H501" i="4" s="1"/>
  <c r="H502" i="4" a="1"/>
  <c r="H502" i="4" s="1"/>
  <c r="H503" i="4" a="1"/>
  <c r="H503" i="4" s="1"/>
  <c r="H504" i="4" a="1"/>
  <c r="H504" i="4" s="1"/>
  <c r="H505" i="4" a="1"/>
  <c r="H505" i="4" s="1"/>
  <c r="H506" i="4" a="1"/>
  <c r="H506" i="4" s="1"/>
  <c r="H507" i="4" a="1"/>
  <c r="H507" i="4" s="1"/>
  <c r="H508" i="4" a="1"/>
  <c r="H508" i="4" s="1"/>
  <c r="H509" i="4" a="1"/>
  <c r="H509" i="4" s="1"/>
  <c r="H510" i="4" a="1"/>
  <c r="H510" i="4" s="1"/>
  <c r="H511" i="4" a="1"/>
  <c r="H511" i="4" s="1"/>
  <c r="H512" i="4" a="1"/>
  <c r="H512" i="4" s="1"/>
  <c r="H513" i="4" a="1"/>
  <c r="H513" i="4" s="1"/>
  <c r="H514" i="4" a="1"/>
  <c r="H514" i="4" s="1"/>
  <c r="H515" i="4" a="1"/>
  <c r="H515" i="4" s="1"/>
  <c r="H516" i="4" a="1"/>
  <c r="H516" i="4" s="1"/>
  <c r="H517" i="4" a="1"/>
  <c r="H517" i="4" s="1"/>
  <c r="H518" i="4" a="1"/>
  <c r="H518" i="4" s="1"/>
  <c r="H519" i="4" a="1"/>
  <c r="H519" i="4" s="1"/>
  <c r="H520" i="4" a="1"/>
  <c r="H520" i="4" s="1"/>
  <c r="H521" i="4" a="1"/>
  <c r="H521" i="4" s="1"/>
  <c r="H522" i="4" a="1"/>
  <c r="H522" i="4" s="1"/>
  <c r="H523" i="4" a="1"/>
  <c r="H523" i="4" s="1"/>
  <c r="H524" i="4" a="1"/>
  <c r="H524" i="4" s="1"/>
  <c r="H525" i="4" a="1"/>
  <c r="H525" i="4" s="1"/>
  <c r="H526" i="4" a="1"/>
  <c r="H526" i="4" s="1"/>
  <c r="H527" i="4" a="1"/>
  <c r="H527" i="4" s="1"/>
  <c r="H528" i="4" a="1"/>
  <c r="H528" i="4" s="1"/>
  <c r="H529" i="4" a="1"/>
  <c r="H529" i="4" s="1"/>
  <c r="H530" i="4" a="1"/>
  <c r="H530" i="4" s="1"/>
  <c r="H531" i="4" a="1"/>
  <c r="H531" i="4" s="1"/>
  <c r="H532" i="4" a="1"/>
  <c r="H532" i="4" s="1"/>
  <c r="H533" i="4" a="1"/>
  <c r="H533" i="4" s="1"/>
  <c r="H534" i="4" a="1"/>
  <c r="H534" i="4" s="1"/>
  <c r="H535" i="4" a="1"/>
  <c r="H535" i="4" s="1"/>
  <c r="H536" i="4" a="1"/>
  <c r="H536" i="4" s="1"/>
  <c r="H537" i="4" a="1"/>
  <c r="H537" i="4" s="1"/>
  <c r="H538" i="4" a="1"/>
  <c r="H538" i="4" s="1"/>
  <c r="H539" i="4" a="1"/>
  <c r="H539" i="4" s="1"/>
  <c r="H540" i="4" a="1"/>
  <c r="H540" i="4" s="1"/>
  <c r="H541" i="4" a="1"/>
  <c r="H541" i="4" s="1"/>
  <c r="H542" i="4" a="1"/>
  <c r="H542" i="4" s="1"/>
  <c r="H543" i="4" a="1"/>
  <c r="H543" i="4" s="1"/>
  <c r="H544" i="4" a="1"/>
  <c r="H544" i="4" s="1"/>
  <c r="H545" i="4" a="1"/>
  <c r="H545" i="4" s="1"/>
  <c r="H546" i="4" a="1"/>
  <c r="H546" i="4" s="1"/>
  <c r="H547" i="4" a="1"/>
  <c r="H547" i="4" s="1"/>
  <c r="H548" i="4" a="1"/>
  <c r="H548" i="4" s="1"/>
  <c r="H549" i="4" a="1"/>
  <c r="H549" i="4" s="1"/>
  <c r="H550" i="4" a="1"/>
  <c r="H550" i="4" s="1"/>
  <c r="H551" i="4" a="1"/>
  <c r="H551" i="4" s="1"/>
  <c r="H552" i="4" a="1"/>
  <c r="H552" i="4" s="1"/>
  <c r="H553" i="4" a="1"/>
  <c r="H553" i="4" s="1"/>
  <c r="H554" i="4" a="1"/>
  <c r="H554" i="4" s="1"/>
  <c r="H555" i="4" a="1"/>
  <c r="H555" i="4" s="1"/>
  <c r="H556" i="4" a="1"/>
  <c r="H556" i="4" s="1"/>
  <c r="H557" i="4" a="1"/>
  <c r="H557" i="4" s="1"/>
  <c r="H558" i="4" a="1"/>
  <c r="H558" i="4" s="1"/>
  <c r="H559" i="4" a="1"/>
  <c r="H559" i="4" s="1"/>
  <c r="H560" i="4" a="1"/>
  <c r="H560" i="4" s="1"/>
  <c r="H561" i="4" a="1"/>
  <c r="H561" i="4" s="1"/>
  <c r="H562" i="4" a="1"/>
  <c r="H562" i="4" s="1"/>
  <c r="H563" i="4" a="1"/>
  <c r="H563" i="4" s="1"/>
  <c r="H564" i="4" a="1"/>
  <c r="H564" i="4" s="1"/>
  <c r="H565" i="4" a="1"/>
  <c r="H565" i="4" s="1"/>
  <c r="H566" i="4" a="1"/>
  <c r="H566" i="4" s="1"/>
  <c r="H567" i="4" a="1"/>
  <c r="H567" i="4" s="1"/>
  <c r="H568" i="4" a="1"/>
  <c r="H568" i="4" s="1"/>
  <c r="H569" i="4" a="1"/>
  <c r="H569" i="4" s="1"/>
  <c r="H570" i="4" a="1"/>
  <c r="H570" i="4" s="1"/>
  <c r="H571" i="4" a="1"/>
  <c r="H571" i="4" s="1"/>
  <c r="H572" i="4" a="1"/>
  <c r="H572" i="4" s="1"/>
  <c r="H573" i="4" a="1"/>
  <c r="H573" i="4" s="1"/>
  <c r="H574" i="4" a="1"/>
  <c r="H574" i="4" s="1"/>
  <c r="H575" i="4" a="1"/>
  <c r="H575" i="4" s="1"/>
  <c r="H576" i="4" a="1"/>
  <c r="H576" i="4" s="1"/>
  <c r="H577" i="4" a="1"/>
  <c r="H577" i="4" s="1"/>
  <c r="H578" i="4" a="1"/>
  <c r="H578" i="4" s="1"/>
  <c r="H579" i="4" a="1"/>
  <c r="H579" i="4" s="1"/>
  <c r="H580" i="4" a="1"/>
  <c r="H580" i="4" s="1"/>
  <c r="H581" i="4" a="1"/>
  <c r="H581" i="4" s="1"/>
  <c r="H582" i="4" a="1"/>
  <c r="H582" i="4" s="1"/>
  <c r="H583" i="4" a="1"/>
  <c r="H583" i="4" s="1"/>
  <c r="H584" i="4" a="1"/>
  <c r="H584" i="4" s="1"/>
  <c r="H585" i="4" a="1"/>
  <c r="H585" i="4" s="1"/>
  <c r="H586" i="4" a="1"/>
  <c r="H586" i="4" s="1"/>
  <c r="H587" i="4" a="1"/>
  <c r="H587" i="4" s="1"/>
  <c r="H588" i="4" a="1"/>
  <c r="H588" i="4" s="1"/>
  <c r="H589" i="4" a="1"/>
  <c r="H589" i="4" s="1"/>
  <c r="H590" i="4" a="1"/>
  <c r="H590" i="4" s="1"/>
  <c r="H591" i="4" a="1"/>
  <c r="H591" i="4" s="1"/>
  <c r="H592" i="4" a="1"/>
  <c r="H592" i="4" s="1"/>
  <c r="H593" i="4" a="1"/>
  <c r="H593" i="4" s="1"/>
  <c r="H594" i="4" a="1"/>
  <c r="H594" i="4" s="1"/>
  <c r="H595" i="4" a="1"/>
  <c r="H595" i="4" s="1"/>
  <c r="H596" i="4" a="1"/>
  <c r="H596" i="4" s="1"/>
  <c r="H597" i="4" a="1"/>
  <c r="H597" i="4" s="1"/>
  <c r="H598" i="4" a="1"/>
  <c r="H598" i="4" s="1"/>
  <c r="H599" i="4" a="1"/>
  <c r="H599" i="4" s="1"/>
  <c r="H600" i="4" a="1"/>
  <c r="H600" i="4" s="1"/>
  <c r="H601" i="4" a="1"/>
  <c r="H601" i="4" s="1"/>
  <c r="H602" i="4" a="1"/>
  <c r="H602" i="4" s="1"/>
  <c r="H603" i="4" a="1"/>
  <c r="H603" i="4" s="1"/>
  <c r="H604" i="4" a="1"/>
  <c r="H604" i="4" s="1"/>
  <c r="H605" i="4" a="1"/>
  <c r="H605" i="4" s="1"/>
  <c r="H606" i="4" a="1"/>
  <c r="H606" i="4" s="1"/>
  <c r="H607" i="4" a="1"/>
  <c r="H607" i="4" s="1"/>
  <c r="H608" i="4" a="1"/>
  <c r="H608" i="4" s="1"/>
  <c r="H609" i="4" a="1"/>
  <c r="H609" i="4" s="1"/>
  <c r="H610" i="4" a="1"/>
  <c r="H610" i="4" s="1"/>
  <c r="H611" i="4" a="1"/>
  <c r="H611" i="4" s="1"/>
  <c r="H612" i="4" a="1"/>
  <c r="H612" i="4" s="1"/>
  <c r="H613" i="4" a="1"/>
  <c r="H613" i="4" s="1"/>
  <c r="H614" i="4" a="1"/>
  <c r="H614" i="4" s="1"/>
  <c r="H615" i="4" a="1"/>
  <c r="H615" i="4" s="1"/>
  <c r="H616" i="4" a="1"/>
  <c r="H616" i="4" s="1"/>
  <c r="H617" i="4" a="1"/>
  <c r="H617" i="4" s="1"/>
  <c r="H618" i="4" a="1"/>
  <c r="H618" i="4" s="1"/>
  <c r="H619" i="4" a="1"/>
  <c r="H619" i="4" s="1"/>
  <c r="H620" i="4" a="1"/>
  <c r="H620" i="4" s="1"/>
  <c r="H621" i="4" a="1"/>
  <c r="H621" i="4" s="1"/>
  <c r="H622" i="4" a="1"/>
  <c r="H622" i="4" s="1"/>
  <c r="H623" i="4" a="1"/>
  <c r="H623" i="4" s="1"/>
  <c r="H624" i="4" a="1"/>
  <c r="H624" i="4" s="1"/>
  <c r="H625" i="4" a="1"/>
  <c r="H625" i="4" s="1"/>
  <c r="H626" i="4" a="1"/>
  <c r="H626" i="4" s="1"/>
  <c r="H627" i="4" a="1"/>
  <c r="H627" i="4" s="1"/>
  <c r="H628" i="4" a="1"/>
  <c r="H628" i="4" s="1"/>
  <c r="H629" i="4" a="1"/>
  <c r="H629" i="4" s="1"/>
  <c r="H630" i="4" a="1"/>
  <c r="H630" i="4" s="1"/>
  <c r="H631" i="4" a="1"/>
  <c r="H631" i="4" s="1"/>
  <c r="H632" i="4" a="1"/>
  <c r="H632" i="4" s="1"/>
  <c r="H633" i="4" a="1"/>
  <c r="H633" i="4" s="1"/>
  <c r="H634" i="4" a="1"/>
  <c r="H634" i="4" s="1"/>
  <c r="H635" i="4" a="1"/>
  <c r="H635" i="4" s="1"/>
  <c r="H636" i="4" a="1"/>
  <c r="H636" i="4" s="1"/>
  <c r="H637" i="4" a="1"/>
  <c r="H637" i="4" s="1"/>
  <c r="H638" i="4" a="1"/>
  <c r="H638" i="4" s="1"/>
  <c r="H639" i="4" a="1"/>
  <c r="H639" i="4" s="1"/>
  <c r="H640" i="4" a="1"/>
  <c r="H640" i="4" s="1"/>
  <c r="H641" i="4" a="1"/>
  <c r="H641" i="4" s="1"/>
  <c r="H642" i="4" a="1"/>
  <c r="H642" i="4" s="1"/>
  <c r="H643" i="4" a="1"/>
  <c r="H643" i="4" s="1"/>
  <c r="H644" i="4" a="1"/>
  <c r="H644" i="4" s="1"/>
  <c r="H645" i="4" a="1"/>
  <c r="H645" i="4" s="1"/>
  <c r="H646" i="4" a="1"/>
  <c r="H646" i="4" s="1"/>
  <c r="H647" i="4" a="1"/>
  <c r="H647" i="4" s="1"/>
  <c r="H648" i="4" a="1"/>
  <c r="H648" i="4" s="1"/>
  <c r="H649" i="4" a="1"/>
  <c r="H649" i="4" s="1"/>
  <c r="H650" i="4" a="1"/>
  <c r="H650" i="4" s="1"/>
  <c r="H651" i="4" a="1"/>
  <c r="H651" i="4" s="1"/>
  <c r="H652" i="4" a="1"/>
  <c r="H652" i="4" s="1"/>
  <c r="H653" i="4" a="1"/>
  <c r="H653" i="4" s="1"/>
  <c r="H654" i="4" a="1"/>
  <c r="H654" i="4" s="1"/>
  <c r="H655" i="4" a="1"/>
  <c r="H655" i="4" s="1"/>
  <c r="H656" i="4" a="1"/>
  <c r="H656" i="4" s="1"/>
  <c r="H657" i="4" a="1"/>
  <c r="H657" i="4" s="1"/>
  <c r="H658" i="4" a="1"/>
  <c r="H658" i="4" s="1"/>
  <c r="H659" i="4" a="1"/>
  <c r="H659" i="4" s="1"/>
  <c r="H660" i="4" a="1"/>
  <c r="H660" i="4" s="1"/>
  <c r="H661" i="4" a="1"/>
  <c r="H661" i="4" s="1"/>
  <c r="H662" i="4" a="1"/>
  <c r="H662" i="4" s="1"/>
  <c r="H663" i="4" a="1"/>
  <c r="H663" i="4" s="1"/>
  <c r="H664" i="4" a="1"/>
  <c r="H664" i="4" s="1"/>
  <c r="H665" i="4" a="1"/>
  <c r="H665" i="4" s="1"/>
  <c r="H666" i="4" a="1"/>
  <c r="H666" i="4" s="1"/>
  <c r="H667" i="4" a="1"/>
  <c r="H667" i="4" s="1"/>
  <c r="H668" i="4" a="1"/>
  <c r="H668" i="4" s="1"/>
  <c r="H669" i="4" a="1"/>
  <c r="H669" i="4" s="1"/>
  <c r="H670" i="4" a="1"/>
  <c r="H670" i="4" s="1"/>
  <c r="H671" i="4" a="1"/>
  <c r="H671" i="4" s="1"/>
  <c r="H672" i="4" a="1"/>
  <c r="H672" i="4" s="1"/>
  <c r="H673" i="4" a="1"/>
  <c r="H673" i="4" s="1"/>
  <c r="H674" i="4" a="1"/>
  <c r="H674" i="4" s="1"/>
  <c r="H675" i="4" a="1"/>
  <c r="H675" i="4" s="1"/>
  <c r="H676" i="4" a="1"/>
  <c r="H676" i="4" s="1"/>
  <c r="H677" i="4" a="1"/>
  <c r="H677" i="4" s="1"/>
  <c r="H678" i="4" a="1"/>
  <c r="H678" i="4" s="1"/>
  <c r="H679" i="4" a="1"/>
  <c r="H679" i="4" s="1"/>
  <c r="H680" i="4" a="1"/>
  <c r="H680" i="4" s="1"/>
  <c r="H681" i="4" a="1"/>
  <c r="H681" i="4" s="1"/>
  <c r="H682" i="4" a="1"/>
  <c r="H682" i="4" s="1"/>
  <c r="H683" i="4" a="1"/>
  <c r="H683" i="4" s="1"/>
  <c r="H684" i="4" a="1"/>
  <c r="H684" i="4" s="1"/>
  <c r="H685" i="4" a="1"/>
  <c r="H685" i="4" s="1"/>
  <c r="H686" i="4" a="1"/>
  <c r="H686" i="4" s="1"/>
  <c r="H687" i="4" a="1"/>
  <c r="H687" i="4" s="1"/>
  <c r="H688" i="4" a="1"/>
  <c r="H688" i="4" s="1"/>
  <c r="H689" i="4" a="1"/>
  <c r="H689" i="4" s="1"/>
  <c r="H690" i="4" a="1"/>
  <c r="H690" i="4" s="1"/>
  <c r="H691" i="4" a="1"/>
  <c r="H691" i="4" s="1"/>
  <c r="H692" i="4" a="1"/>
  <c r="H692" i="4" s="1"/>
  <c r="H693" i="4" a="1"/>
  <c r="H693" i="4" s="1"/>
  <c r="H694" i="4" a="1"/>
  <c r="H694" i="4" s="1"/>
  <c r="H695" i="4" a="1"/>
  <c r="H695" i="4" s="1"/>
  <c r="H696" i="4" a="1"/>
  <c r="H696" i="4" s="1"/>
  <c r="H697" i="4" a="1"/>
  <c r="H697" i="4" s="1"/>
  <c r="H698" i="4" a="1"/>
  <c r="H698" i="4" s="1"/>
  <c r="H699" i="4" a="1"/>
  <c r="H699" i="4" s="1"/>
  <c r="H700" i="4" a="1"/>
  <c r="H700" i="4" s="1"/>
  <c r="H701" i="4" a="1"/>
  <c r="H701" i="4" s="1"/>
  <c r="H702" i="4" a="1"/>
  <c r="H702" i="4" s="1"/>
  <c r="H703" i="4" a="1"/>
  <c r="H703" i="4" s="1"/>
  <c r="H704" i="4" a="1"/>
  <c r="H704" i="4" s="1"/>
  <c r="H705" i="4" a="1"/>
  <c r="H705" i="4" s="1"/>
  <c r="H706" i="4" a="1"/>
  <c r="H706" i="4" s="1"/>
  <c r="H707" i="4" a="1"/>
  <c r="H707" i="4" s="1"/>
  <c r="H708" i="4" a="1"/>
  <c r="H708" i="4" s="1"/>
  <c r="H709" i="4" a="1"/>
  <c r="H709" i="4" s="1"/>
  <c r="H710" i="4" a="1"/>
  <c r="H710" i="4" s="1"/>
  <c r="H711" i="4" a="1"/>
  <c r="H711" i="4" s="1"/>
  <c r="H712" i="4" a="1"/>
  <c r="H712" i="4" s="1"/>
  <c r="H713" i="4" a="1"/>
  <c r="H713" i="4" s="1"/>
  <c r="H714" i="4" a="1"/>
  <c r="H714" i="4" s="1"/>
  <c r="H715" i="4" a="1"/>
  <c r="H715" i="4" s="1"/>
  <c r="H716" i="4" a="1"/>
  <c r="H716" i="4" s="1"/>
  <c r="H717" i="4" a="1"/>
  <c r="H717" i="4" s="1"/>
  <c r="H718" i="4" a="1"/>
  <c r="H718" i="4" s="1"/>
  <c r="H719" i="4" a="1"/>
  <c r="H719" i="4" s="1"/>
  <c r="H720" i="4" a="1"/>
  <c r="H720" i="4" s="1"/>
  <c r="H721" i="4" a="1"/>
  <c r="H721" i="4" s="1"/>
  <c r="H722" i="4" a="1"/>
  <c r="H722" i="4" s="1"/>
  <c r="H723" i="4" a="1"/>
  <c r="H723" i="4" s="1"/>
  <c r="H724" i="4" a="1"/>
  <c r="H724" i="4" s="1"/>
  <c r="H725" i="4" a="1"/>
  <c r="H725" i="4" s="1"/>
  <c r="H726" i="4" a="1"/>
  <c r="H726" i="4" s="1"/>
  <c r="H727" i="4" a="1"/>
  <c r="H727" i="4" s="1"/>
  <c r="H728" i="4" a="1"/>
  <c r="H728" i="4" s="1"/>
  <c r="H729" i="4" a="1"/>
  <c r="H729" i="4" s="1"/>
  <c r="H730" i="4" a="1"/>
  <c r="H730" i="4" s="1"/>
  <c r="H731" i="4" a="1"/>
  <c r="H731" i="4" s="1"/>
  <c r="H732" i="4" a="1"/>
  <c r="H732" i="4" s="1"/>
  <c r="H733" i="4" a="1"/>
  <c r="H733" i="4" s="1"/>
  <c r="H734" i="4" a="1"/>
  <c r="H734" i="4" s="1"/>
  <c r="H735" i="4" a="1"/>
  <c r="H735" i="4" s="1"/>
  <c r="H736" i="4" a="1"/>
  <c r="H736" i="4" s="1"/>
  <c r="H737" i="4" a="1"/>
  <c r="H737" i="4" s="1"/>
  <c r="H738" i="4" a="1"/>
  <c r="H738" i="4" s="1"/>
  <c r="H739" i="4" a="1"/>
  <c r="H739" i="4" s="1"/>
  <c r="H740" i="4" a="1"/>
  <c r="H740" i="4" s="1"/>
  <c r="H741" i="4" a="1"/>
  <c r="H741" i="4" s="1"/>
  <c r="H742" i="4" a="1"/>
  <c r="H742" i="4" s="1"/>
  <c r="H743" i="4" a="1"/>
  <c r="H743" i="4" s="1"/>
  <c r="H744" i="4" a="1"/>
  <c r="H744" i="4" s="1"/>
  <c r="H745" i="4" a="1"/>
  <c r="H745" i="4" s="1"/>
  <c r="H746" i="4" a="1"/>
  <c r="H746" i="4" s="1"/>
  <c r="H747" i="4" a="1"/>
  <c r="H747" i="4" s="1"/>
  <c r="H748" i="4" a="1"/>
  <c r="H748" i="4" s="1"/>
  <c r="H749" i="4" a="1"/>
  <c r="H749" i="4" s="1"/>
  <c r="H750" i="4" a="1"/>
  <c r="H750" i="4" s="1"/>
  <c r="H751" i="4" a="1"/>
  <c r="H751" i="4" s="1"/>
  <c r="H752" i="4" a="1"/>
  <c r="H752" i="4" s="1"/>
  <c r="H753" i="4" a="1"/>
  <c r="H753" i="4" s="1"/>
  <c r="H754" i="4" a="1"/>
  <c r="H754" i="4" s="1"/>
  <c r="H755" i="4" a="1"/>
  <c r="H755" i="4" s="1"/>
  <c r="H756" i="4" a="1"/>
  <c r="H756" i="4" s="1"/>
  <c r="H757" i="4" a="1"/>
  <c r="H757" i="4" s="1"/>
  <c r="H758" i="4" a="1"/>
  <c r="H758" i="4" s="1"/>
  <c r="H759" i="4" a="1"/>
  <c r="H759" i="4" s="1"/>
  <c r="H760" i="4" a="1"/>
  <c r="H760" i="4" s="1"/>
  <c r="H761" i="4" a="1"/>
  <c r="H761" i="4" s="1"/>
  <c r="H762" i="4" a="1"/>
  <c r="H762" i="4" s="1"/>
  <c r="H763" i="4" a="1"/>
  <c r="H763" i="4" s="1"/>
  <c r="H764" i="4" a="1"/>
  <c r="H764" i="4" s="1"/>
  <c r="H765" i="4" a="1"/>
  <c r="H765" i="4" s="1"/>
  <c r="H766" i="4" a="1"/>
  <c r="H766" i="4" s="1"/>
  <c r="H767" i="4" a="1"/>
  <c r="H767" i="4" s="1"/>
  <c r="H768" i="4" a="1"/>
  <c r="H768" i="4" s="1"/>
  <c r="H769" i="4" a="1"/>
  <c r="H769" i="4" s="1"/>
  <c r="H770" i="4" a="1"/>
  <c r="H770" i="4" s="1"/>
  <c r="H771" i="4" a="1"/>
  <c r="H771" i="4" s="1"/>
  <c r="H772" i="4" a="1"/>
  <c r="H772" i="4" s="1"/>
  <c r="H773" i="4" a="1"/>
  <c r="H773" i="4" s="1"/>
  <c r="H774" i="4" a="1"/>
  <c r="H774" i="4" s="1"/>
  <c r="H775" i="4" a="1"/>
  <c r="H775" i="4" s="1"/>
  <c r="H776" i="4" a="1"/>
  <c r="H776" i="4" s="1"/>
  <c r="H777" i="4" a="1"/>
  <c r="H777" i="4" s="1"/>
  <c r="H778" i="4" a="1"/>
  <c r="H778" i="4" s="1"/>
  <c r="H779" i="4" a="1"/>
  <c r="H779" i="4" s="1"/>
  <c r="H780" i="4" a="1"/>
  <c r="H780" i="4" s="1"/>
  <c r="H781" i="4" a="1"/>
  <c r="H781" i="4" s="1"/>
  <c r="H782" i="4" a="1"/>
  <c r="H782" i="4" s="1"/>
  <c r="H783" i="4" a="1"/>
  <c r="H783" i="4" s="1"/>
  <c r="H784" i="4" a="1"/>
  <c r="H784" i="4" s="1"/>
  <c r="H785" i="4" a="1"/>
  <c r="H785" i="4" s="1"/>
  <c r="H786" i="4" a="1"/>
  <c r="H786" i="4" s="1"/>
  <c r="H787" i="4" a="1"/>
  <c r="H787" i="4" s="1"/>
  <c r="H788" i="4" a="1"/>
  <c r="H788" i="4" s="1"/>
  <c r="H789" i="4" a="1"/>
  <c r="H789" i="4" s="1"/>
  <c r="H790" i="4" a="1"/>
  <c r="H790" i="4" s="1"/>
  <c r="H791" i="4" a="1"/>
  <c r="H791" i="4" s="1"/>
  <c r="H792" i="4" a="1"/>
  <c r="H792" i="4" s="1"/>
  <c r="H793" i="4" a="1"/>
  <c r="H793" i="4" s="1"/>
  <c r="H794" i="4" a="1"/>
  <c r="H794" i="4" s="1"/>
  <c r="H795" i="4" a="1"/>
  <c r="H795" i="4" s="1"/>
  <c r="H796" i="4" a="1"/>
  <c r="H796" i="4" s="1"/>
  <c r="H797" i="4" a="1"/>
  <c r="H797" i="4" s="1"/>
  <c r="H798" i="4" a="1"/>
  <c r="H798" i="4" s="1"/>
  <c r="H799" i="4" a="1"/>
  <c r="H799" i="4" s="1"/>
  <c r="H800" i="4" a="1"/>
  <c r="H800" i="4" s="1"/>
  <c r="H801" i="4" a="1"/>
  <c r="H801" i="4" s="1"/>
  <c r="H802" i="4" a="1"/>
  <c r="H802" i="4" s="1"/>
  <c r="H803" i="4" a="1"/>
  <c r="H803" i="4" s="1"/>
  <c r="H804" i="4" a="1"/>
  <c r="H804" i="4" s="1"/>
  <c r="H805" i="4" a="1"/>
  <c r="H805" i="4" s="1"/>
  <c r="H806" i="4" a="1"/>
  <c r="H806" i="4" s="1"/>
  <c r="H807" i="4" a="1"/>
  <c r="H807" i="4" s="1"/>
  <c r="H808" i="4" a="1"/>
  <c r="H808" i="4" s="1"/>
  <c r="H809" i="4" a="1"/>
  <c r="H809" i="4" s="1"/>
  <c r="H810" i="4" a="1"/>
  <c r="H810" i="4" s="1"/>
  <c r="H811" i="4" a="1"/>
  <c r="H811" i="4" s="1"/>
  <c r="H812" i="4" a="1"/>
  <c r="H812" i="4" s="1"/>
  <c r="H813" i="4" a="1"/>
  <c r="H813" i="4" s="1"/>
  <c r="H814" i="4" a="1"/>
  <c r="H814" i="4" s="1"/>
  <c r="H815" i="4" a="1"/>
  <c r="H815" i="4" s="1"/>
  <c r="H816" i="4" a="1"/>
  <c r="H816" i="4" s="1"/>
  <c r="H817" i="4" a="1"/>
  <c r="H817" i="4" s="1"/>
  <c r="H818" i="4" a="1"/>
  <c r="H818" i="4" s="1"/>
  <c r="H819" i="4" a="1"/>
  <c r="H819" i="4" s="1"/>
  <c r="H820" i="4" a="1"/>
  <c r="H820" i="4" s="1"/>
  <c r="H821" i="4" a="1"/>
  <c r="H821" i="4" s="1"/>
  <c r="H822" i="4" a="1"/>
  <c r="H822" i="4" s="1"/>
  <c r="H823" i="4" a="1"/>
  <c r="H823" i="4" s="1"/>
  <c r="H824" i="4" a="1"/>
  <c r="H824" i="4" s="1"/>
  <c r="H825" i="4" a="1"/>
  <c r="H825" i="4" s="1"/>
  <c r="H826" i="4" a="1"/>
  <c r="H826" i="4" s="1"/>
  <c r="H827" i="4" a="1"/>
  <c r="H827" i="4" s="1"/>
  <c r="H828" i="4" a="1"/>
  <c r="H828" i="4" s="1"/>
  <c r="H829" i="4" a="1"/>
  <c r="H829" i="4" s="1"/>
  <c r="H830" i="4" a="1"/>
  <c r="H830" i="4" s="1"/>
  <c r="H831" i="4" a="1"/>
  <c r="H831" i="4" s="1"/>
  <c r="H832" i="4" a="1"/>
  <c r="H832" i="4" s="1"/>
  <c r="H833" i="4" a="1"/>
  <c r="H833" i="4" s="1"/>
  <c r="H834" i="4" a="1"/>
  <c r="H834" i="4" s="1"/>
  <c r="H835" i="4" a="1"/>
  <c r="H835" i="4" s="1"/>
  <c r="H836" i="4" a="1"/>
  <c r="H836" i="4" s="1"/>
  <c r="H837" i="4" a="1"/>
  <c r="H837" i="4" s="1"/>
  <c r="H838" i="4" a="1"/>
  <c r="H838" i="4" s="1"/>
  <c r="H839" i="4" a="1"/>
  <c r="H839" i="4" s="1"/>
  <c r="H840" i="4" a="1"/>
  <c r="H840" i="4" s="1"/>
  <c r="H841" i="4" a="1"/>
  <c r="H841" i="4" s="1"/>
  <c r="H842" i="4" a="1"/>
  <c r="H842" i="4" s="1"/>
  <c r="H843" i="4" a="1"/>
  <c r="H843" i="4" s="1"/>
  <c r="H844" i="4" a="1"/>
  <c r="H844" i="4" s="1"/>
  <c r="H845" i="4" a="1"/>
  <c r="H845" i="4" s="1"/>
  <c r="H846" i="4" a="1"/>
  <c r="H846" i="4" s="1"/>
  <c r="H847" i="4" a="1"/>
  <c r="H847" i="4" s="1"/>
  <c r="H848" i="4" a="1"/>
  <c r="H848" i="4" s="1"/>
  <c r="H849" i="4" a="1"/>
  <c r="H849" i="4" s="1"/>
  <c r="H850" i="4" a="1"/>
  <c r="H850" i="4" s="1"/>
  <c r="H851" i="4" a="1"/>
  <c r="H851" i="4" s="1"/>
  <c r="H852" i="4" a="1"/>
  <c r="H852" i="4" s="1"/>
  <c r="H853" i="4" a="1"/>
  <c r="H853" i="4" s="1"/>
  <c r="H854" i="4" a="1"/>
  <c r="H854" i="4" s="1"/>
  <c r="H855" i="4" a="1"/>
  <c r="H855" i="4" s="1"/>
  <c r="H856" i="4" a="1"/>
  <c r="H856" i="4" s="1"/>
  <c r="H857" i="4" a="1"/>
  <c r="H857" i="4" s="1"/>
  <c r="H858" i="4" a="1"/>
  <c r="H858" i="4" s="1"/>
  <c r="H859" i="4" a="1"/>
  <c r="H859" i="4" s="1"/>
  <c r="H860" i="4" a="1"/>
  <c r="H860" i="4" s="1"/>
  <c r="H861" i="4" a="1"/>
  <c r="H861" i="4" s="1"/>
  <c r="H862" i="4" a="1"/>
  <c r="H862" i="4" s="1"/>
  <c r="H863" i="4" a="1"/>
  <c r="H863" i="4" s="1"/>
  <c r="H864" i="4" a="1"/>
  <c r="H864" i="4" s="1"/>
  <c r="H865" i="4" a="1"/>
  <c r="H865" i="4" s="1"/>
  <c r="H866" i="4" a="1"/>
  <c r="H866" i="4" s="1"/>
  <c r="H867" i="4" a="1"/>
  <c r="H867" i="4" s="1"/>
  <c r="H868" i="4" a="1"/>
  <c r="H868" i="4" s="1"/>
  <c r="H869" i="4" a="1"/>
  <c r="H869" i="4" s="1"/>
  <c r="H870" i="4" a="1"/>
  <c r="H870" i="4" s="1"/>
  <c r="H871" i="4" a="1"/>
  <c r="H871" i="4" s="1"/>
  <c r="H872" i="4" a="1"/>
  <c r="H872" i="4" s="1"/>
  <c r="H873" i="4" a="1"/>
  <c r="H873" i="4" s="1"/>
  <c r="H874" i="4" a="1"/>
  <c r="H874" i="4" s="1"/>
  <c r="H875" i="4" a="1"/>
  <c r="H875" i="4" s="1"/>
  <c r="H876" i="4" a="1"/>
  <c r="H876" i="4" s="1"/>
  <c r="H877" i="4" a="1"/>
  <c r="H877" i="4" s="1"/>
  <c r="H878" i="4" a="1"/>
  <c r="H878" i="4" s="1"/>
  <c r="H879" i="4" a="1"/>
  <c r="H879" i="4" s="1"/>
  <c r="H880" i="4" a="1"/>
  <c r="H880" i="4" s="1"/>
  <c r="H881" i="4" a="1"/>
  <c r="H881" i="4" s="1"/>
  <c r="H882" i="4" a="1"/>
  <c r="H882" i="4" s="1"/>
  <c r="H883" i="4" a="1"/>
  <c r="H883" i="4" s="1"/>
  <c r="H884" i="4" a="1"/>
  <c r="H884" i="4" s="1"/>
  <c r="H885" i="4" a="1"/>
  <c r="H885" i="4" s="1"/>
  <c r="H886" i="4" a="1"/>
  <c r="H886" i="4" s="1"/>
  <c r="H887" i="4" a="1"/>
  <c r="H887" i="4" s="1"/>
  <c r="H888" i="4" a="1"/>
  <c r="H888" i="4" s="1"/>
  <c r="H889" i="4" a="1"/>
  <c r="H889" i="4" s="1"/>
  <c r="H890" i="4" a="1"/>
  <c r="H890" i="4" s="1"/>
  <c r="H891" i="4" a="1"/>
  <c r="H891" i="4" s="1"/>
  <c r="H892" i="4" a="1"/>
  <c r="H892" i="4" s="1"/>
  <c r="H893" i="4" a="1"/>
  <c r="H893" i="4" s="1"/>
  <c r="H894" i="4" a="1"/>
  <c r="H894" i="4" s="1"/>
  <c r="H895" i="4" a="1"/>
  <c r="H895" i="4" s="1"/>
  <c r="H896" i="4" a="1"/>
  <c r="H896" i="4" s="1"/>
  <c r="H897" i="4" a="1"/>
  <c r="H897" i="4" s="1"/>
  <c r="H898" i="4" a="1"/>
  <c r="H898" i="4" s="1"/>
  <c r="H899" i="4" a="1"/>
  <c r="H899" i="4" s="1"/>
  <c r="H900" i="4" a="1"/>
  <c r="H900" i="4" s="1"/>
  <c r="H901" i="4" a="1"/>
  <c r="H901" i="4" s="1"/>
  <c r="H902" i="4" a="1"/>
  <c r="H902" i="4" s="1"/>
  <c r="H903" i="4" a="1"/>
  <c r="H903" i="4" s="1"/>
  <c r="H904" i="4" a="1"/>
  <c r="H904" i="4" s="1"/>
  <c r="H905" i="4" a="1"/>
  <c r="H905" i="4" s="1"/>
  <c r="H906" i="4" a="1"/>
  <c r="H906" i="4" s="1"/>
  <c r="H907" i="4" a="1"/>
  <c r="H907" i="4" s="1"/>
  <c r="H908" i="4" a="1"/>
  <c r="H908" i="4" s="1"/>
  <c r="H909" i="4" a="1"/>
  <c r="H909" i="4" s="1"/>
  <c r="H910" i="4" a="1"/>
  <c r="H910" i="4" s="1"/>
  <c r="H911" i="4" a="1"/>
  <c r="H911" i="4" s="1"/>
  <c r="H912" i="4" a="1"/>
  <c r="H912" i="4" s="1"/>
  <c r="H913" i="4" a="1"/>
  <c r="H913" i="4" s="1"/>
  <c r="H914" i="4" a="1"/>
  <c r="H914" i="4" s="1"/>
  <c r="H915" i="4" a="1"/>
  <c r="H915" i="4" s="1"/>
  <c r="H916" i="4" a="1"/>
  <c r="H916" i="4" s="1"/>
  <c r="H917" i="4" a="1"/>
  <c r="H917" i="4" s="1"/>
  <c r="H918" i="4" a="1"/>
  <c r="H918" i="4" s="1"/>
  <c r="H919" i="4" a="1"/>
  <c r="H919" i="4" s="1"/>
  <c r="H920" i="4" a="1"/>
  <c r="H920" i="4" s="1"/>
  <c r="H921" i="4" a="1"/>
  <c r="H921" i="4" s="1"/>
  <c r="H922" i="4" a="1"/>
  <c r="H922" i="4" s="1"/>
  <c r="H923" i="4" a="1"/>
  <c r="H923" i="4" s="1"/>
  <c r="H924" i="4" a="1"/>
  <c r="H924" i="4" s="1"/>
  <c r="H925" i="4" a="1"/>
  <c r="H925" i="4" s="1"/>
  <c r="H926" i="4" a="1"/>
  <c r="H926" i="4" s="1"/>
  <c r="H927" i="4" a="1"/>
  <c r="H927" i="4" s="1"/>
  <c r="H928" i="4" a="1"/>
  <c r="H928" i="4" s="1"/>
  <c r="H929" i="4" a="1"/>
  <c r="H929" i="4" s="1"/>
  <c r="H930" i="4" a="1"/>
  <c r="H930" i="4" s="1"/>
  <c r="H931" i="4" a="1"/>
  <c r="H931" i="4" s="1"/>
  <c r="H932" i="4" a="1"/>
  <c r="H932" i="4" s="1"/>
  <c r="H933" i="4" a="1"/>
  <c r="H933" i="4" s="1"/>
  <c r="H934" i="4" a="1"/>
  <c r="H934" i="4" s="1"/>
  <c r="H935" i="4" a="1"/>
  <c r="H935" i="4" s="1"/>
  <c r="H936" i="4" a="1"/>
  <c r="H936" i="4" s="1"/>
  <c r="H937" i="4" a="1"/>
  <c r="H937" i="4" s="1"/>
  <c r="H938" i="4" a="1"/>
  <c r="H938" i="4" s="1"/>
  <c r="H939" i="4" a="1"/>
  <c r="H939" i="4" s="1"/>
  <c r="H940" i="4" a="1"/>
  <c r="H940" i="4" s="1"/>
  <c r="H941" i="4" a="1"/>
  <c r="H941" i="4" s="1"/>
  <c r="H942" i="4" a="1"/>
  <c r="H942" i="4" s="1"/>
  <c r="H943" i="4" a="1"/>
  <c r="H943" i="4" s="1"/>
  <c r="H944" i="4" a="1"/>
  <c r="H944" i="4" s="1"/>
  <c r="H945" i="4" a="1"/>
  <c r="H945" i="4" s="1"/>
  <c r="H946" i="4" a="1"/>
  <c r="H946" i="4" s="1"/>
  <c r="H947" i="4" a="1"/>
  <c r="H947" i="4" s="1"/>
  <c r="H948" i="4" a="1"/>
  <c r="H948" i="4" s="1"/>
  <c r="H949" i="4" a="1"/>
  <c r="H949" i="4" s="1"/>
  <c r="H950" i="4" a="1"/>
  <c r="H950" i="4" s="1"/>
  <c r="H951" i="4" a="1"/>
  <c r="H951" i="4" s="1"/>
  <c r="H952" i="4" a="1"/>
  <c r="H952" i="4" s="1"/>
  <c r="H953" i="4" a="1"/>
  <c r="H953" i="4" s="1"/>
  <c r="H954" i="4" a="1"/>
  <c r="H954" i="4" s="1"/>
  <c r="H955" i="4" a="1"/>
  <c r="H955" i="4" s="1"/>
  <c r="H956" i="4" a="1"/>
  <c r="H956" i="4" s="1"/>
  <c r="H957" i="4" a="1"/>
  <c r="H957" i="4" s="1"/>
  <c r="H958" i="4" a="1"/>
  <c r="H958" i="4" s="1"/>
  <c r="H959" i="4" a="1"/>
  <c r="H959" i="4" s="1"/>
  <c r="H960" i="4" a="1"/>
  <c r="H960" i="4" s="1"/>
  <c r="H961" i="4" a="1"/>
  <c r="H961" i="4" s="1"/>
  <c r="H962" i="4" a="1"/>
  <c r="H962" i="4" s="1"/>
  <c r="H963" i="4" a="1"/>
  <c r="H963" i="4" s="1"/>
  <c r="H964" i="4" a="1"/>
  <c r="H964" i="4" s="1"/>
  <c r="H965" i="4" a="1"/>
  <c r="H965" i="4" s="1"/>
  <c r="H966" i="4" a="1"/>
  <c r="H966" i="4" s="1"/>
  <c r="H967" i="4" a="1"/>
  <c r="H967" i="4" s="1"/>
  <c r="H968" i="4" a="1"/>
  <c r="H968" i="4" s="1"/>
  <c r="H969" i="4" a="1"/>
  <c r="H969" i="4" s="1"/>
  <c r="H970" i="4" a="1"/>
  <c r="H970" i="4" s="1"/>
  <c r="H971" i="4" a="1"/>
  <c r="H971" i="4" s="1"/>
  <c r="H972" i="4" a="1"/>
  <c r="H972" i="4" s="1"/>
  <c r="H973" i="4" a="1"/>
  <c r="H973" i="4" s="1"/>
  <c r="H974" i="4" a="1"/>
  <c r="H974" i="4" s="1"/>
  <c r="H975" i="4" a="1"/>
  <c r="H975" i="4" s="1"/>
  <c r="H976" i="4" a="1"/>
  <c r="H976" i="4" s="1"/>
  <c r="H977" i="4" a="1"/>
  <c r="H977" i="4" s="1"/>
  <c r="H978" i="4" a="1"/>
  <c r="H978" i="4" s="1"/>
  <c r="H979" i="4" a="1"/>
  <c r="H979" i="4" s="1"/>
  <c r="H980" i="4" a="1"/>
  <c r="H980" i="4" s="1"/>
  <c r="H981" i="4" a="1"/>
  <c r="H981" i="4" s="1"/>
  <c r="H982" i="4" a="1"/>
  <c r="H982" i="4" s="1"/>
  <c r="H983" i="4" a="1"/>
  <c r="H983" i="4" s="1"/>
  <c r="H984" i="4" a="1"/>
  <c r="H984" i="4" s="1"/>
  <c r="H985" i="4" a="1"/>
  <c r="H985" i="4" s="1"/>
  <c r="H986" i="4" a="1"/>
  <c r="H986" i="4" s="1"/>
  <c r="H987" i="4" a="1"/>
  <c r="H987" i="4" s="1"/>
  <c r="H988" i="4" a="1"/>
  <c r="H988" i="4" s="1"/>
  <c r="H989" i="4" a="1"/>
  <c r="H989" i="4" s="1"/>
  <c r="H990" i="4" a="1"/>
  <c r="H990" i="4" s="1"/>
  <c r="H991" i="4" a="1"/>
  <c r="H991" i="4" s="1"/>
  <c r="H992" i="4" a="1"/>
  <c r="H992" i="4" s="1"/>
  <c r="H993" i="4" a="1"/>
  <c r="H993" i="4" s="1"/>
  <c r="H994" i="4" a="1"/>
  <c r="H994" i="4" s="1"/>
  <c r="H995" i="4" a="1"/>
  <c r="H995" i="4" s="1"/>
  <c r="H996" i="4" a="1"/>
  <c r="H996" i="4" s="1"/>
  <c r="H997" i="4" a="1"/>
  <c r="H997" i="4" s="1"/>
  <c r="H998" i="4" a="1"/>
  <c r="H998" i="4" s="1"/>
  <c r="H999" i="4" a="1"/>
  <c r="H999" i="4" s="1"/>
  <c r="H1000" i="4" a="1"/>
  <c r="H1000" i="4" s="1"/>
  <c r="H1001" i="4" a="1"/>
  <c r="H1001" i="4" s="1"/>
  <c r="H1002" i="4" a="1"/>
  <c r="H1002" i="4" s="1"/>
  <c r="H1003" i="4" a="1"/>
  <c r="H1003" i="4" s="1"/>
  <c r="H1004" i="4" a="1"/>
  <c r="H1004" i="4" s="1"/>
  <c r="H2" i="4" a="1"/>
  <c r="H2" i="4" s="1"/>
  <c r="C19" i="4" l="1"/>
  <c r="C20" i="4"/>
  <c r="C17" i="4"/>
  <c r="C18" i="4"/>
  <c r="Q4" i="4"/>
  <c r="C16" i="4"/>
  <c r="L2" i="4"/>
  <c r="Q3" i="4" s="1"/>
  <c r="B21" i="4" a="1"/>
  <c r="B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Erdal Gurten</author>
  </authors>
  <commentList>
    <comment ref="H1" authorId="0" shapeId="0" xr:uid="{32859DE2-6202-400C-93C9-D520D9E3F821}">
      <text>
        <r>
          <rPr>
            <sz val="11"/>
            <color theme="1"/>
            <rFont val="Aptos Narrow"/>
            <family val="2"/>
            <scheme val="minor"/>
          </rPr>
          <t xml:space="preserve">Simulations - DO NOT TOUCH
Each row shows total portfolio value at the end of the 30 year period
</t>
        </r>
      </text>
    </comment>
    <comment ref="C2" authorId="0" shapeId="0" xr:uid="{74F127A3-FB4A-48B6-91FD-EAF038FD24FD}">
      <text>
        <r>
          <rPr>
            <sz val="11"/>
            <color theme="1"/>
            <rFont val="Aptos Narrow"/>
            <family val="2"/>
            <scheme val="minor"/>
          </rPr>
          <t xml:space="preserve">FILL YELLOW CELLS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<sst xmlns="http://schemas.openxmlformats.org/spreadsheetml/2006/main" count="37" uniqueCount="36">
  <si>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r>
      <rPr>
        <b/>
        <sz val="11"/>
        <color rgb="FF000000"/>
        <rFont val="Aptos Narrow"/>
        <scheme val="minor"/>
      </rPr>
      <t>Author:</t>
    </r>
    <r>
      <rPr>
        <sz val="11"/>
        <color rgb="FF000000"/>
        <rFont val="Aptos Narrow"/>
        <scheme val="minor"/>
      </rPr>
      <t xml:space="preserve"> Erdal Gurten</t>
    </r>
  </si>
  <si>
    <r>
      <t>Last Updated:</t>
    </r>
    <r>
      <rPr>
        <sz val="11"/>
        <color theme="1"/>
        <rFont val="Aptos Narrow"/>
        <family val="2"/>
        <scheme val="minor"/>
      </rPr>
      <t xml:space="preserve"> February 2026</t>
    </r>
  </si>
  <si>
    <r>
      <rPr>
        <b/>
        <sz val="11"/>
        <color rgb="FF000000"/>
        <rFont val="Aptos Narrow"/>
        <scheme val="minor"/>
      </rPr>
      <t>Build:</t>
    </r>
    <r>
      <rPr>
        <sz val="11"/>
        <color rgb="FF000000"/>
        <rFont val="Aptos Narrow"/>
        <scheme val="minor"/>
      </rPr>
      <t xml:space="preserve"> Monte Carlo Engine v1.0</t>
    </r>
  </si>
  <si>
    <r>
      <rPr>
        <b/>
        <u/>
        <sz val="11"/>
        <color rgb="FF000000"/>
        <rFont val="Aptos Narrow"/>
        <scheme val="minor"/>
      </rPr>
      <t xml:space="preserve">How the Simulation Works:
</t>
    </r>
    <r>
      <rPr>
        <sz val="11"/>
        <color rgb="FF000000"/>
        <rFont val="Aptos Narrow"/>
        <scheme val="minor"/>
      </rPr>
      <t xml:space="preserve">
This model uses a Monte Carlo Simulation to stress-test your retirement plan across 1,000 different "market lives."
    The Waterfall Strategy: To protect your long-term growth, the model pays your bills using a specific priority order:
        Cash Savings (Spent first to let investments grow).
        Taxable Brokerage (Spent second).
        IRA / 401(k) (Spent last to maximize tax-deferred compounding).
    Social Security: Once you reach your selected start age, the model automatically reduces your "portfolio withdrawal" by the amount of your inflation-adjusted benefit.
    The Randomizer: Each of the 1,000 simulations experiences a unique, random sequence of market returns based on your "Expected Return" and "Volatility" inputs.
    Success Rate: This represents the percentage of those 1,000 "lives" where you reached the end of Year 40 with at least $1 remaining.</t>
    </r>
  </si>
  <si>
    <t>Created by Erdal Gurten| Retirement Engine v1.0 | © 2026</t>
  </si>
  <si>
    <t>40 YEAR LONG RETIREMENT - MONTE CARLO SIMULATION ASSUMPTIONS AND RESULTS</t>
  </si>
  <si>
    <t>Wealth Brackets</t>
  </si>
  <si>
    <t>Monte Carlo Simulations (1000)</t>
  </si>
  <si>
    <t>Average 40-YR Return</t>
  </si>
  <si>
    <t>MAP Function</t>
  </si>
  <si>
    <t>Spending Adjusted</t>
  </si>
  <si>
    <t>Annual Spending</t>
  </si>
  <si>
    <t>Cash Bucket</t>
  </si>
  <si>
    <t>Map Function</t>
  </si>
  <si>
    <t>Taxable Brokerage</t>
  </si>
  <si>
    <t>IRA / 401K Balance</t>
  </si>
  <si>
    <t>Expected Market Return</t>
  </si>
  <si>
    <t>Volatility (Std. Dev.)</t>
  </si>
  <si>
    <t>Inflation Rate</t>
  </si>
  <si>
    <t xml:space="preserve">Cash Interest Rate </t>
  </si>
  <si>
    <t>Social Security Year</t>
  </si>
  <si>
    <t>Social Security Amount</t>
  </si>
  <si>
    <t>High Spend Amount</t>
  </si>
  <si>
    <t>Years of High Spend</t>
  </si>
  <si>
    <t>Low Spend Amount</t>
  </si>
  <si>
    <t>Probability of Success</t>
  </si>
  <si>
    <t>% of time you did not run out of money</t>
  </si>
  <si>
    <t>Shortfall Risk</t>
  </si>
  <si>
    <t>Chances of running out of money before year 40</t>
  </si>
  <si>
    <t>The Average Life</t>
  </si>
  <si>
    <t>Your most likely inheritence for heirs</t>
  </si>
  <si>
    <t>The Crash Scenario</t>
  </si>
  <si>
    <t>The result if the market is terrible (bottom 10%)</t>
  </si>
  <si>
    <t>Worst Case Ending</t>
  </si>
  <si>
    <t>Minimum Portfolio Value at the end of 40 Years</t>
  </si>
  <si>
    <t>Worst Case Scenario (stock market goes down every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</si>
</sst>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2" borderId="1" applyNumberFormat="0" applyFont="0" applyAlignment="0" applyProtection="0"/>
  </cellStyleXfs>
  <cellXfs count="26">
    <xf numFmtId="0" fontId="0" fillId="0" borderId="0" xfId="0"/>
    <xf numFmtId="44" fontId="0" fillId="0" borderId="0" xfId="0" applyNumberFormat="1"/>
    <xf numFmtId="4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2" xfId="0" applyBorder="1"/>
    <xf numFmtId="0" fontId="0" fillId="0" borderId="2" xfId="0" applyBorder="1" applyAlignment="1">
      <alignment horizontal="right" vertical="center" wrapText="1"/>
    </xf>
    <xf numFmtId="10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right" vertical="center"/>
    </xf>
    <xf numFmtId="44" fontId="0" fillId="0" borderId="2" xfId="0" applyNumberFormat="1" applyBorder="1" applyAlignment="1">
      <alignment vertical="center"/>
    </xf>
    <xf numFmtId="0" fontId="0" fillId="0" borderId="2" xfId="0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4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2" xfId="1" applyFont="1" applyBorder="1"/>
    <xf numFmtId="44" fontId="0" fillId="2" borderId="2" xfId="1" applyNumberFormat="1" applyFont="1" applyBorder="1"/>
    <xf numFmtId="0" fontId="3" fillId="0" borderId="0" xfId="0" applyFont="1" applyAlignment="1">
      <alignment horizontal="center" wrapText="1"/>
    </xf>
    <xf numFmtId="44" fontId="1" fillId="2" borderId="2" xfId="1" applyNumberFormat="1" applyFont="1" applyBorder="1"/>
    <xf numFmtId="10" fontId="1" fillId="2" borderId="2" xfId="1" applyNumberFormat="1" applyFont="1" applyBorder="1"/>
    <xf numFmtId="0" fontId="3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Perfomance in a Poor Market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'Monte Carlo'!$N$2:$N$35</c:f>
              <c:numCache>
                <c:formatCode>_("$"* #,##0.00_);_("$"* \(#,##0.00\);_("$"* "-"??_);_(@_)</c:formatCode>
                <c:ptCount val="33"/>
                <c:pt idx="0">
                  <c:v>4700080.9368541976</c:v>
                </c:pt>
                <c:pt idx="1">
                  <c:v>6568341.4011185141</c:v>
                </c:pt>
                <c:pt idx="2">
                  <c:v>1743985.4770251371</c:v>
                </c:pt>
                <c:pt idx="3">
                  <c:v>7926742.0312966751</c:v>
                </c:pt>
                <c:pt idx="4">
                  <c:v>0</c:v>
                </c:pt>
                <c:pt idx="5">
                  <c:v>10841713.144310297</c:v>
                </c:pt>
                <c:pt idx="6">
                  <c:v>10348181.816283831</c:v>
                </c:pt>
                <c:pt idx="7">
                  <c:v>2926733.4903062009</c:v>
                </c:pt>
                <c:pt idx="8">
                  <c:v>7401181.6063886601</c:v>
                </c:pt>
                <c:pt idx="9">
                  <c:v>9181775.8002837151</c:v>
                </c:pt>
                <c:pt idx="10">
                  <c:v>4289087.8352150591</c:v>
                </c:pt>
                <c:pt idx="11">
                  <c:v>0</c:v>
                </c:pt>
                <c:pt idx="12">
                  <c:v>11492446.567884829</c:v>
                </c:pt>
                <c:pt idx="13">
                  <c:v>3044061.9587763371</c:v>
                </c:pt>
                <c:pt idx="14">
                  <c:v>7215414.6272868998</c:v>
                </c:pt>
                <c:pt idx="15">
                  <c:v>6703013.133984358</c:v>
                </c:pt>
                <c:pt idx="16">
                  <c:v>21497251.638315942</c:v>
                </c:pt>
                <c:pt idx="17">
                  <c:v>0</c:v>
                </c:pt>
                <c:pt idx="18">
                  <c:v>0</c:v>
                </c:pt>
                <c:pt idx="19">
                  <c:v>256610.60332852753</c:v>
                </c:pt>
                <c:pt idx="20">
                  <c:v>0</c:v>
                </c:pt>
                <c:pt idx="21">
                  <c:v>2478107.5005130284</c:v>
                </c:pt>
                <c:pt idx="22">
                  <c:v>8083485.4436351676</c:v>
                </c:pt>
                <c:pt idx="23">
                  <c:v>2352547.7233510655</c:v>
                </c:pt>
                <c:pt idx="24">
                  <c:v>798368.32991399523</c:v>
                </c:pt>
                <c:pt idx="25">
                  <c:v>21747527.986800589</c:v>
                </c:pt>
                <c:pt idx="26">
                  <c:v>17755236.585669294</c:v>
                </c:pt>
                <c:pt idx="27">
                  <c:v>11323522.554190854</c:v>
                </c:pt>
                <c:pt idx="28">
                  <c:v>732239.33492898068</c:v>
                </c:pt>
                <c:pt idx="29">
                  <c:v>1642125.5684372364</c:v>
                </c:pt>
                <c:pt idx="30">
                  <c:v>4979335.2382326946</c:v>
                </c:pt>
                <c:pt idx="31">
                  <c:v>6324916.4737855894</c:v>
                </c:pt>
                <c:pt idx="32">
                  <c:v>3068189.0549804936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5-49CE-86AE-165DF5CA6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3302279"/>
        <c:axId val="2133308423"/>
      </c:lineChart>
      <c:catAx>
        <c:axId val="2133302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308423"/>
        <c:crosses val="autoZero"/>
        <c:auto val="1"/>
        <c:lblAlgn val="ctr"/>
        <c:lblOffset val="100"/>
        <c:noMultiLvlLbl val="0"/>
      </c:catAx>
      <c:valAx>
        <c:axId val="213330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302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_xlchart.v1.0</cx:f>
      </cx:numDim>
    </cx:data>
  </cx:chartData>
  <cx:chart>
    <cx:title pos="t" align="ctr" overlay="0">
      <cx:tx>
        <cx:txData>
          <cx:v>Distribution of Ending Wealth (40-Year Outlook)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Distribution of Ending Wealth (40-Year Outlook)</a:t>
          </a:r>
        </a:p>
      </cx:txPr>
    </cx:title>
    <cx:plotArea>
      <cx:plotAreaRegion>
        <cx:series layoutId="clusteredColumn" uniqueId="{00000000-979A-4C25-A048-367723FAAA23}"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binning intervalClosed="r" underflow="1">
              <cx:binCount val="40"/>
            </cx:binning>
          </cx:layoutPr>
        </cx:series>
      </cx:plotAreaRegion>
      <cx:axis id="0">
        <cx:catScaling gapWidth="0"/>
        <cx:tickLabels/>
        <cx:numFmt formatCode="_($* #,##0_);_($* (#,##0);_($* &quot;-&quot;_);_(@_)" sourceLinked="0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21</xdr:row>
      <xdr:rowOff>171450</xdr:rowOff>
    </xdr:from>
    <xdr:to>
      <xdr:col>5</xdr:col>
      <xdr:colOff>0</xdr:colOff>
      <xdr:row>47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C65487-AEC4-2A41-1AC3-2D9628CE9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40" y="5101590"/>
              <a:ext cx="7795260" cy="4587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523875</xdr:colOff>
      <xdr:row>4</xdr:row>
      <xdr:rowOff>180975</xdr:rowOff>
    </xdr:from>
    <xdr:to>
      <xdr:col>30</xdr:col>
      <xdr:colOff>219075</xdr:colOff>
      <xdr:row>19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F9D47A-1B4C-4FD7-A471-CA2C91EC6338}"/>
            </a:ext>
            <a:ext uri="{147F2762-F138-4A5C-976F-8EAC2B608ADB}">
              <a16:predDERef xmlns:a16="http://schemas.microsoft.com/office/drawing/2014/main" pred="{BAC65487-AEC4-2A41-1AC3-2D9628CE9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BDBF-2CF9-43A1-8971-1C8F977E6CE6}">
  <dimension ref="C1:C6"/>
  <sheetViews>
    <sheetView tabSelected="1" topLeftCell="A3" workbookViewId="0">
      <selection activeCell="C6" sqref="C6"/>
    </sheetView>
  </sheetViews>
  <sheetFormatPr defaultRowHeight="14.4" x14ac:dyDescent="0.3"/>
  <cols>
    <col min="3" max="3" width="79.44140625" customWidth="1"/>
  </cols>
  <sheetData>
    <row r="1" spans="3:3" x14ac:dyDescent="0.3">
      <c r="C1" s="15" t="s">
        <v>0</v>
      </c>
    </row>
    <row r="2" spans="3:3" x14ac:dyDescent="0.3">
      <c r="C2" s="13" t="s">
        <v>1</v>
      </c>
    </row>
    <row r="3" spans="3:3" x14ac:dyDescent="0.3">
      <c r="C3" s="15" t="s">
        <v>2</v>
      </c>
    </row>
    <row r="5" spans="3:3" ht="353.25" customHeight="1" x14ac:dyDescent="0.3">
      <c r="C5" s="14" t="s">
        <v>3</v>
      </c>
    </row>
    <row r="6" spans="3:3" x14ac:dyDescent="0.3">
      <c r="C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A7550-304D-40D0-987A-9C3440CF4B61}">
  <dimension ref="B1:R1009"/>
  <sheetViews>
    <sheetView workbookViewId="0">
      <selection activeCell="D11" sqref="D11"/>
    </sheetView>
  </sheetViews>
  <sheetFormatPr defaultRowHeight="14.4" x14ac:dyDescent="0.3"/>
  <cols>
    <col min="2" max="2" width="21.5546875" customWidth="1"/>
    <col min="3" max="3" width="24.5546875" bestFit="1" customWidth="1"/>
    <col min="4" max="4" width="49.88671875" customWidth="1"/>
    <col min="5" max="5" width="17.33203125" bestFit="1" customWidth="1"/>
    <col min="8" max="8" width="28.6640625" hidden="1" customWidth="1"/>
    <col min="9" max="9" width="20.109375" hidden="1" customWidth="1"/>
    <col min="10" max="11" width="0" hidden="1" customWidth="1"/>
    <col min="12" max="12" width="16.44140625" hidden="1" customWidth="1"/>
    <col min="14" max="14" width="16.44140625" bestFit="1" customWidth="1"/>
    <col min="17" max="17" width="35.33203125" customWidth="1"/>
    <col min="18" max="18" width="16.6640625" bestFit="1" customWidth="1"/>
  </cols>
  <sheetData>
    <row r="1" spans="2:18" ht="36.75" customHeight="1" x14ac:dyDescent="0.3">
      <c r="B1" s="24" t="s">
        <v>5</v>
      </c>
      <c r="C1" s="24"/>
      <c r="E1" s="25" t="s">
        <v>6</v>
      </c>
      <c r="F1" s="25"/>
      <c r="H1" s="12" t="s">
        <v>7</v>
      </c>
      <c r="I1" s="13" t="s">
        <v>8</v>
      </c>
      <c r="L1" s="18" t="s">
        <v>9</v>
      </c>
      <c r="N1" s="21" t="s">
        <v>10</v>
      </c>
    </row>
    <row r="2" spans="2:18" x14ac:dyDescent="0.3">
      <c r="B2" s="4" t="s">
        <v>11</v>
      </c>
      <c r="C2" s="22">
        <v>36000</v>
      </c>
      <c r="E2" s="16">
        <v>0</v>
      </c>
      <c r="F2" s="17" cm="1">
        <f t="array" aca="1" ref="F2:F7" ca="1">FREQUENCY($N$2:$N$1001, $E$1:$E$6)</f>
        <v>197</v>
      </c>
      <c r="G2">
        <v>1</v>
      </c>
      <c r="H2" s="2" cm="1">
        <f t="array" aca="1" ref="H2:I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22487747.021491528</v>
      </c>
      <c r="I2" s="3">
        <f ca="1"/>
        <v>9.2585694652790193E-2</v>
      </c>
      <c r="L2" s="1" cm="1">
        <f t="array" aca="1" ref="L2:L1001" ca="1">_xlfn.MAP(_xlfn.SEQUENCE(1000), _xlfn.LAMBDA(_xlpm.s_idx,
    _xlfn.LET(
        _xlpm.simulation, _xlfn.REDUCE(_xlfn.HSTACK($C$3, $C$4, $C$5, 0), _xlfn.SEQUENCE(40), _xlfn.LAMBDA(_xlpm.b,_xlpm.y,
            _xlfn.LET(
                _xlpm.mkt, _xlfn.NORM.INV(RAND(), $C$6, $C$7),
                _xlpm.curr_c, INDEX(_xlpm.b, 1) * (1 + $C$9),
                _xlpm.curr_t, INDEX(_xlpm.b, 2) * (1 + _xlpm.mkt),
                _xlpm.curr_i, INDEX(_xlpm.b, 3) * (1 + _xlpm.mkt),
                _xlpm.total_w, _xlpm.curr_c + _xlpm.curr_t + _xlpm.curr_i,
                _xlpm.target_s, $C$2 * (1 + $C$8)^(_xlpm.y-1),
                _xlpm.adj_s, IF(_xlpm.total_w &lt; 1100000, _xlpm.target_s * 0.8, _xlpm.target_s),
                _xlpm.ss, IF(_xlpm.y &gt;= $C$10, $C$11 * (1 + $C$8)^(_xlpm.y-1), 0),
                _xlpm.draw, MAX(0, _xlpm.adj_s - _xlpm.ss),
                _xlpm.final_draw, IF((_xlpm.curr_c + _xlpm.curr_t) &lt; _xlpm.draw, _xlpm.draw * 1.15, _xlpm.draw),
                _xlpm.nc, MAX(0, _xlpm.curr_c - _xlpm.final_draw),
                _xlpm.nt, MAX(0, _xlpm.curr_t - MAX(0, _xlpm.final_draw - _xlpm.curr_c)),
                _xlpm.ni, MAX(0, _xlpm.curr_i - MAX(0, (_xlpm.final_draw - _xlpm.curr_c) - _xlpm.curr_t)),
                _xlfn.HSTACK(_xlpm.nc, _xlpm.nt, _xlpm.ni, 0)
            )
        )),
        INDEX(_xlpm.simulation, 1) + INDEX(_xlpm.simulation, 2) + INDEX(_xlpm.simulation, 3)
    )
))</f>
        <v>18525845.780616831</v>
      </c>
      <c r="N2" s="2" cm="1">
        <f t="array" aca="1" ref="N2:N1001" ca="1">_xlfn.MAP(_xlfn.SEQUENCE(1000), _xlfn.LAMBDA(_xlpm.s_idx,
    _xlfn.LET(
        _xlpm.sim, _xlfn.REDUCE(_xlfn.HSTACK($C$3, $C$4, $C$5, 0), _xlfn.SEQUENCE(40), _xlfn.LAMBDA(_xlpm.b,_xlpm.y,
            _xlfn.LET(
                _xlpm.mkt, _xlfn.NORM.INV(RAND(), $C$6, $C$7),
                _xlpm.cc, INDEX(_xlpm.b, 1) * (1 + $C$9),
                _xlpm.ct, INDEX(_xlpm.b, 2) * (1 + _xlpm.mkt),
                _xlpm.ci, INDEX(_xlpm.b, 3) * (1 + _xlpm.mkt),
                _xlpm.tw, _xlpm.cc + _xlpm.ct + _xlpm.ci,
                _xlpm.t_base, IF(_xlpm.y &lt;= $C$13, $C$12, $C$14),
                _xlpm.ts, _xlpm.t_base * (1 + $C$8)^(_xlpm.y-1),
                _xlpm.as, IF(_xlpm.tw &lt; 1100000, _xlpm.ts * 0.8, _xlpm.ts),
                _xlpm.ss, IF(_xlpm.y &gt;= $C$10, $C$11 * (1 + $C$8)^(_xlpm.y-1), 0),
                _xlpm.dr, MAX(0, _xlpm.as - _xlpm.ss),
                _xlpm.fdr, IF((_xlpm.cc + _xlpm.ct) &lt; _xlpm.dr, _xlpm.dr * 1.15, _xlpm.dr),
                _xlpm.nc, MAX(0, _xlpm.cc - _xlpm.fdr),
                _xlpm.nt, MAX(0, _xlpm.ct - MAX(0, _xlpm.fdr - _xlpm.cc)),
                _xlpm.ni, MAX(0, _xlpm.ci - MAX(0, (_xlpm.fdr - _xlpm.cc) - _xlpm.ct)),
                _xlfn.HSTACK(_xlpm.nc, _xlpm.nt, _xlpm.ni, 0)
            )
        )),
        INDEX(_xlpm.sim, 1) + INDEX(_xlpm.sim, 2) + INDEX(_xlpm.sim, 3)
    )
))</f>
        <v>4700080.9368541976</v>
      </c>
    </row>
    <row r="3" spans="2:18" x14ac:dyDescent="0.3">
      <c r="B3" s="4" t="s">
        <v>12</v>
      </c>
      <c r="C3" s="22">
        <v>150000</v>
      </c>
      <c r="E3" s="16">
        <v>500000</v>
      </c>
      <c r="F3" s="17">
        <f ca="1"/>
        <v>59</v>
      </c>
      <c r="G3">
        <v>2</v>
      </c>
      <c r="H3" s="2" cm="1">
        <f t="array" aca="1" ref="H3:I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" s="3">
        <f ca="1"/>
        <v>4.0005869012838237E-2</v>
      </c>
      <c r="L3" s="1">
        <f ca="1"/>
        <v>11399838.138131654</v>
      </c>
      <c r="N3" s="1">
        <f ca="1"/>
        <v>6568341.4011185141</v>
      </c>
      <c r="Q3" t="str">
        <f ca="1">"Retirement Success Rate: " &amp; TEXT(COUNTIF(L2:L1004, "&gt;0")/1000, "0%")</f>
        <v>Retirement Success Rate: 80%</v>
      </c>
      <c r="R3" t="s">
        <v>13</v>
      </c>
    </row>
    <row r="4" spans="2:18" ht="16.5" customHeight="1" x14ac:dyDescent="0.3">
      <c r="B4" s="4" t="s">
        <v>14</v>
      </c>
      <c r="C4" s="22">
        <v>750000</v>
      </c>
      <c r="E4" s="16">
        <v>1000000</v>
      </c>
      <c r="F4" s="17">
        <f ca="1"/>
        <v>62</v>
      </c>
      <c r="G4">
        <v>3</v>
      </c>
      <c r="H4" s="2" cm="1">
        <f t="array" aca="1" ref="H4:I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6343941.5328608863</v>
      </c>
      <c r="I4" s="3">
        <f ca="1"/>
        <v>6.6191497472523578E-2</v>
      </c>
      <c r="L4" s="1">
        <f ca="1"/>
        <v>4389097.7523256848</v>
      </c>
      <c r="N4" s="1">
        <f ca="1"/>
        <v>1743985.4770251371</v>
      </c>
      <c r="Q4" t="str">
        <f ca="1">"Retirement Success Rate: " &amp; TEXT(COUNTIF(N2:N1001, "&gt;0")/1000, "0%")</f>
        <v>Retirement Success Rate: 80%</v>
      </c>
      <c r="R4" t="s">
        <v>10</v>
      </c>
    </row>
    <row r="5" spans="2:18" x14ac:dyDescent="0.3">
      <c r="B5" s="4" t="s">
        <v>15</v>
      </c>
      <c r="C5" s="22">
        <v>600000</v>
      </c>
      <c r="E5" s="16">
        <v>2500000</v>
      </c>
      <c r="F5" s="17">
        <f ca="1"/>
        <v>138</v>
      </c>
      <c r="G5">
        <v>4</v>
      </c>
      <c r="H5" s="2" cm="1">
        <f t="array" aca="1" ref="H5:I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27827230.179632232</v>
      </c>
      <c r="I5" s="3">
        <f ca="1"/>
        <v>0.10397288289723783</v>
      </c>
      <c r="L5" s="1">
        <f ca="1"/>
        <v>11387293.464930501</v>
      </c>
      <c r="N5" s="1">
        <f ca="1"/>
        <v>7926742.0312966751</v>
      </c>
    </row>
    <row r="6" spans="2:18" x14ac:dyDescent="0.3">
      <c r="B6" s="4" t="s">
        <v>16</v>
      </c>
      <c r="C6" s="23">
        <v>0.06</v>
      </c>
      <c r="E6" s="16">
        <v>5000000</v>
      </c>
      <c r="F6" s="17">
        <f ca="1"/>
        <v>165</v>
      </c>
      <c r="G6">
        <v>5</v>
      </c>
      <c r="H6" s="2" cm="1">
        <f t="array" aca="1" ref="H6:I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3404193.8359514954</v>
      </c>
      <c r="I6" s="3">
        <f ca="1"/>
        <v>5.2786324479550964E-2</v>
      </c>
      <c r="L6" s="1">
        <f ca="1"/>
        <v>115775.84350783956</v>
      </c>
      <c r="N6" s="1">
        <f ca="1"/>
        <v>0</v>
      </c>
    </row>
    <row r="7" spans="2:18" x14ac:dyDescent="0.3">
      <c r="B7" s="4" t="s">
        <v>17</v>
      </c>
      <c r="C7" s="23">
        <v>0.15</v>
      </c>
      <c r="E7" s="16">
        <v>10000000</v>
      </c>
      <c r="F7" s="17">
        <f ca="1"/>
        <v>379</v>
      </c>
      <c r="G7">
        <v>6</v>
      </c>
      <c r="H7" s="2" cm="1">
        <f t="array" aca="1" ref="H7:I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9641767.6121743936</v>
      </c>
      <c r="I7" s="3">
        <f ca="1"/>
        <v>7.7427177510260986E-2</v>
      </c>
      <c r="L7" s="1">
        <f ca="1"/>
        <v>4010977.8018145934</v>
      </c>
      <c r="N7" s="1">
        <f ca="1"/>
        <v>10841713.144310297</v>
      </c>
    </row>
    <row r="8" spans="2:18" x14ac:dyDescent="0.3">
      <c r="B8" s="4" t="s">
        <v>18</v>
      </c>
      <c r="C8" s="23">
        <v>0.03</v>
      </c>
      <c r="G8">
        <v>7</v>
      </c>
      <c r="H8" s="2" cm="1">
        <f t="array" aca="1" ref="H8:I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21576105.06197457</v>
      </c>
      <c r="I8" s="3">
        <f ca="1"/>
        <v>8.6992639376405292E-2</v>
      </c>
      <c r="L8" s="1">
        <f ca="1"/>
        <v>0</v>
      </c>
      <c r="N8" s="1">
        <f ca="1"/>
        <v>10348181.816283831</v>
      </c>
    </row>
    <row r="9" spans="2:18" x14ac:dyDescent="0.3">
      <c r="B9" s="4" t="s">
        <v>19</v>
      </c>
      <c r="C9" s="23">
        <v>0.01</v>
      </c>
      <c r="G9">
        <v>8</v>
      </c>
      <c r="H9" s="2" cm="1">
        <f t="array" aca="1" ref="H9:I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3858549.5109360972</v>
      </c>
      <c r="I9" s="3">
        <f ca="1"/>
        <v>5.8673294498025594E-2</v>
      </c>
      <c r="L9" s="1">
        <f ca="1"/>
        <v>9000914.2387986332</v>
      </c>
      <c r="N9" s="1">
        <f ca="1"/>
        <v>2926733.4903062009</v>
      </c>
    </row>
    <row r="10" spans="2:18" x14ac:dyDescent="0.3">
      <c r="B10" s="4" t="s">
        <v>20</v>
      </c>
      <c r="C10" s="19">
        <v>17</v>
      </c>
      <c r="G10">
        <v>9</v>
      </c>
      <c r="H10" s="2" cm="1">
        <f t="array" aca="1" ref="H10:I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1545997.00414589</v>
      </c>
      <c r="I10" s="3">
        <f ca="1"/>
        <v>7.5964576944159784E-2</v>
      </c>
      <c r="L10" s="1">
        <f ca="1"/>
        <v>0</v>
      </c>
      <c r="N10" s="1">
        <f ca="1"/>
        <v>7401181.6063886601</v>
      </c>
    </row>
    <row r="11" spans="2:18" ht="15" customHeight="1" x14ac:dyDescent="0.3">
      <c r="B11" s="11" t="s">
        <v>21</v>
      </c>
      <c r="C11" s="20">
        <v>0</v>
      </c>
      <c r="G11">
        <v>10</v>
      </c>
      <c r="H11" s="2" cm="1">
        <f t="array" aca="1" ref="H11:I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153676.14176871881</v>
      </c>
      <c r="I11" s="3">
        <f ca="1"/>
        <v>5.151333765138074E-2</v>
      </c>
      <c r="L11" s="1">
        <f ca="1"/>
        <v>11143534.103666265</v>
      </c>
      <c r="N11" s="1">
        <f ca="1"/>
        <v>9181775.8002837151</v>
      </c>
    </row>
    <row r="12" spans="2:18" ht="15" customHeight="1" x14ac:dyDescent="0.3">
      <c r="B12" s="11" t="s">
        <v>22</v>
      </c>
      <c r="C12" s="20">
        <v>36000</v>
      </c>
      <c r="H12" s="2"/>
      <c r="I12" s="3"/>
      <c r="L12" s="1">
        <f ca="1"/>
        <v>10045192.966573525</v>
      </c>
      <c r="N12" s="1">
        <f ca="1"/>
        <v>4289087.8352150591</v>
      </c>
    </row>
    <row r="13" spans="2:18" ht="15" customHeight="1" x14ac:dyDescent="0.3">
      <c r="B13" s="11" t="s">
        <v>23</v>
      </c>
      <c r="C13" s="20">
        <v>10</v>
      </c>
      <c r="H13" s="2"/>
      <c r="I13" s="3"/>
      <c r="L13" s="1">
        <f ca="1"/>
        <v>18984041.598285094</v>
      </c>
      <c r="N13" s="1">
        <f ca="1"/>
        <v>0</v>
      </c>
    </row>
    <row r="14" spans="2:18" ht="15" customHeight="1" x14ac:dyDescent="0.3">
      <c r="B14" s="11" t="s">
        <v>24</v>
      </c>
      <c r="C14" s="20">
        <v>36000</v>
      </c>
      <c r="H14" s="2"/>
      <c r="I14" s="3"/>
      <c r="L14" s="1">
        <f ca="1"/>
        <v>0</v>
      </c>
      <c r="N14" s="1">
        <f ca="1"/>
        <v>11492446.567884829</v>
      </c>
    </row>
    <row r="15" spans="2:18" x14ac:dyDescent="0.3">
      <c r="D15" s="1"/>
      <c r="E15" s="1"/>
      <c r="G15">
        <v>11</v>
      </c>
      <c r="H15" s="2" cm="1">
        <f t="array" aca="1" ref="H15:I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11802560.268962588</v>
      </c>
      <c r="I15" s="3">
        <f ca="1"/>
        <v>7.7612776639263761E-2</v>
      </c>
      <c r="L15" s="1">
        <f ca="1"/>
        <v>39654135.068373114</v>
      </c>
      <c r="N15" s="1">
        <f ca="1"/>
        <v>3044061.9587763371</v>
      </c>
    </row>
    <row r="16" spans="2:18" ht="21.75" customHeight="1" x14ac:dyDescent="0.3">
      <c r="B16" s="5" t="s">
        <v>25</v>
      </c>
      <c r="C16" s="6">
        <f ca="1">COUNTIF(N2:N1008, "&gt;0")/1000</f>
        <v>0.80300000000000005</v>
      </c>
      <c r="D16" s="7" t="s">
        <v>26</v>
      </c>
      <c r="E16" s="1"/>
      <c r="G16">
        <v>12</v>
      </c>
      <c r="H16" s="2" cm="1">
        <f t="array" aca="1" ref="H16:I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2912644.943857912</v>
      </c>
      <c r="I16" s="3">
        <f ca="1"/>
        <v>7.5384597491377339E-2</v>
      </c>
      <c r="L16" s="1">
        <f ca="1"/>
        <v>3779078.4663138906</v>
      </c>
      <c r="N16" s="1">
        <f ca="1"/>
        <v>7215414.6272868998</v>
      </c>
    </row>
    <row r="17" spans="2:14" ht="30.75" customHeight="1" x14ac:dyDescent="0.3">
      <c r="B17" s="5" t="s">
        <v>27</v>
      </c>
      <c r="C17" s="6">
        <f ca="1">COUNTIF(N:N, "0")/1000</f>
        <v>0.19700000000000001</v>
      </c>
      <c r="D17" s="8" t="s">
        <v>28</v>
      </c>
      <c r="E17" s="1"/>
      <c r="G17">
        <v>13</v>
      </c>
      <c r="H17" s="2" cm="1">
        <f t="array" aca="1" ref="H17:I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2193255.7570163854</v>
      </c>
      <c r="I17" s="3">
        <f ca="1"/>
        <v>5.2227290610994216E-2</v>
      </c>
      <c r="L17" s="1">
        <f ca="1"/>
        <v>4500781.8166214852</v>
      </c>
      <c r="N17" s="1">
        <f ca="1"/>
        <v>6703013.133984358</v>
      </c>
    </row>
    <row r="18" spans="2:14" ht="32.25" customHeight="1" x14ac:dyDescent="0.3">
      <c r="B18" s="9" t="s">
        <v>29</v>
      </c>
      <c r="C18" s="10">
        <f ca="1">MEDIAN(N2:N1001)</f>
        <v>3030696.1711601294</v>
      </c>
      <c r="D18" s="7" t="s">
        <v>30</v>
      </c>
      <c r="E18" s="1"/>
      <c r="G18">
        <v>14</v>
      </c>
      <c r="H18" s="2" cm="1">
        <f t="array" aca="1" ref="H18:I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32979401.18544814</v>
      </c>
      <c r="I18" s="3">
        <f ca="1"/>
        <v>0.10231054111554731</v>
      </c>
      <c r="L18" s="1">
        <f ca="1"/>
        <v>7896636.5291700065</v>
      </c>
      <c r="N18" s="1">
        <f ca="1"/>
        <v>21497251.638315942</v>
      </c>
    </row>
    <row r="19" spans="2:14" ht="32.25" customHeight="1" x14ac:dyDescent="0.3">
      <c r="B19" s="9" t="s">
        <v>31</v>
      </c>
      <c r="C19" s="10">
        <f ca="1">_xlfn.PERCENTILE.INC(N2:N1001, 0.1)</f>
        <v>0</v>
      </c>
      <c r="D19" s="8" t="s">
        <v>32</v>
      </c>
      <c r="E19" s="1"/>
      <c r="G19">
        <v>15</v>
      </c>
      <c r="H19" s="2" cm="1">
        <f t="array" aca="1" ref="H19:I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9" s="3">
        <f ca="1"/>
        <v>1.3716430576502745E-2</v>
      </c>
      <c r="L19" s="1">
        <f ca="1"/>
        <v>40583075.775983289</v>
      </c>
      <c r="N19" s="1">
        <f ca="1"/>
        <v>0</v>
      </c>
    </row>
    <row r="20" spans="2:14" ht="32.25" customHeight="1" x14ac:dyDescent="0.3">
      <c r="B20" s="9" t="s">
        <v>33</v>
      </c>
      <c r="C20" s="10">
        <f ca="1">MIN(N:N)</f>
        <v>0</v>
      </c>
      <c r="D20" s="8" t="s">
        <v>34</v>
      </c>
      <c r="E20" s="1"/>
      <c r="G20">
        <v>16</v>
      </c>
      <c r="H20" s="2" cm="1">
        <f t="array" aca="1" ref="H20:I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5760885.9824343352</v>
      </c>
      <c r="I20" s="3">
        <f ca="1"/>
        <v>6.1424095242837116E-2</v>
      </c>
      <c r="L20" s="1">
        <f ca="1"/>
        <v>7478381.6744772671</v>
      </c>
      <c r="N20" s="1">
        <f ca="1"/>
        <v>0</v>
      </c>
    </row>
    <row r="21" spans="2:14" ht="32.25" hidden="1" customHeight="1" x14ac:dyDescent="0.3">
      <c r="B21" s="5" t="str" cm="1">
        <f t="array" aca="1" ref="B21" ca="1">"Portfolio Depleted in Year: " &amp; IFERROR(MATCH(TRUE,_xlfn.ANCHORARRAY( N2)&lt;=0, 0), "None")</f>
        <v>Portfolio Depleted in Year: 5</v>
      </c>
      <c r="C21" s="10"/>
      <c r="D21" s="8" t="s">
        <v>35</v>
      </c>
      <c r="E21" s="1"/>
      <c r="G21">
        <v>17</v>
      </c>
      <c r="H21" s="2" cm="1">
        <f t="array" aca="1" ref="H21:I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3959327.3025211692</v>
      </c>
      <c r="I21" s="3">
        <f ca="1"/>
        <v>6.0663409589863937E-2</v>
      </c>
      <c r="L21" s="1">
        <f ca="1"/>
        <v>25545478.06492652</v>
      </c>
      <c r="N21" s="1">
        <f ca="1"/>
        <v>8017663.4107891079</v>
      </c>
    </row>
    <row r="22" spans="2:14" x14ac:dyDescent="0.3">
      <c r="E22" s="1"/>
      <c r="G22">
        <v>18</v>
      </c>
      <c r="H22" s="2" cm="1">
        <f t="array" aca="1" ref="H22:I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19662979.029314447</v>
      </c>
      <c r="I22" s="3">
        <f ca="1"/>
        <v>8.8596083915032015E-2</v>
      </c>
      <c r="L22" s="1">
        <f ca="1"/>
        <v>1471299.0926728148</v>
      </c>
      <c r="N22" s="1">
        <f ca="1"/>
        <v>256610.60332852753</v>
      </c>
    </row>
    <row r="23" spans="2:14" x14ac:dyDescent="0.3">
      <c r="C23" s="1"/>
      <c r="D23" s="1"/>
      <c r="E23" s="1"/>
      <c r="G23">
        <v>19</v>
      </c>
      <c r="H23" s="2" cm="1">
        <f t="array" aca="1" ref="H23:I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6757643.113830965</v>
      </c>
      <c r="I23" s="3">
        <f ca="1"/>
        <v>7.8947591099237074E-2</v>
      </c>
      <c r="L23" s="1">
        <f ca="1"/>
        <v>0</v>
      </c>
      <c r="N23" s="1">
        <f ca="1"/>
        <v>0</v>
      </c>
    </row>
    <row r="24" spans="2:14" x14ac:dyDescent="0.3">
      <c r="C24" s="1"/>
      <c r="D24" s="1"/>
      <c r="E24" s="1"/>
      <c r="G24">
        <v>20</v>
      </c>
      <c r="H24" s="2" cm="1">
        <f t="array" aca="1" ref="H24:I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935190.64280801476</v>
      </c>
      <c r="I24" s="3">
        <f ca="1"/>
        <v>4.5129708318163021E-2</v>
      </c>
      <c r="L24" s="1">
        <f ca="1"/>
        <v>322570.04764059576</v>
      </c>
      <c r="N24" s="1">
        <f ca="1"/>
        <v>2478107.5005130284</v>
      </c>
    </row>
    <row r="25" spans="2:14" x14ac:dyDescent="0.3">
      <c r="C25" s="1"/>
      <c r="D25" s="1"/>
      <c r="E25" s="1"/>
      <c r="G25">
        <v>21</v>
      </c>
      <c r="H25" s="2" cm="1">
        <f t="array" aca="1" ref="H25:I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2612830.4327214975</v>
      </c>
      <c r="I25" s="3">
        <f ca="1"/>
        <v>6.6385014053531755E-2</v>
      </c>
      <c r="L25" s="1">
        <f ca="1"/>
        <v>5781752.0793511858</v>
      </c>
      <c r="N25" s="1">
        <f ca="1"/>
        <v>8083485.4436351676</v>
      </c>
    </row>
    <row r="26" spans="2:14" x14ac:dyDescent="0.3">
      <c r="C26" s="1"/>
      <c r="D26" s="1"/>
      <c r="E26" s="1"/>
      <c r="G26">
        <v>22</v>
      </c>
      <c r="H26" s="2" cm="1">
        <f t="array" aca="1" ref="H26:I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28998913.141094942</v>
      </c>
      <c r="I26" s="3">
        <f ca="1"/>
        <v>0.10028345238340856</v>
      </c>
      <c r="L26" s="1">
        <f ca="1"/>
        <v>1860240.0153153692</v>
      </c>
      <c r="N26" s="1">
        <f ca="1"/>
        <v>2352547.7233510655</v>
      </c>
    </row>
    <row r="27" spans="2:14" x14ac:dyDescent="0.3">
      <c r="C27" s="1"/>
      <c r="D27" s="1"/>
      <c r="E27" s="1"/>
      <c r="G27">
        <v>23</v>
      </c>
      <c r="H27" s="2" cm="1">
        <f t="array" aca="1" ref="H27:I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7" s="3">
        <f ca="1"/>
        <v>3.7862404566646024E-2</v>
      </c>
      <c r="L27" s="1">
        <f ca="1"/>
        <v>7647760.1702223374</v>
      </c>
      <c r="N27" s="1">
        <f ca="1"/>
        <v>798368.32991399523</v>
      </c>
    </row>
    <row r="28" spans="2:14" x14ac:dyDescent="0.3">
      <c r="C28" s="1"/>
      <c r="D28" s="1"/>
      <c r="E28" s="1"/>
      <c r="G28">
        <v>24</v>
      </c>
      <c r="H28" s="2" cm="1">
        <f t="array" aca="1" ref="H28:I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5815703.2208559811</v>
      </c>
      <c r="I28" s="3">
        <f ca="1"/>
        <v>7.3761564756879505E-2</v>
      </c>
      <c r="L28" s="1">
        <f ca="1"/>
        <v>1348138.9676860904</v>
      </c>
      <c r="N28" s="1">
        <f ca="1"/>
        <v>21747527.986800589</v>
      </c>
    </row>
    <row r="29" spans="2:14" x14ac:dyDescent="0.3">
      <c r="C29" s="1"/>
      <c r="D29" s="1"/>
      <c r="E29" s="1"/>
      <c r="G29">
        <v>25</v>
      </c>
      <c r="H29" s="2" cm="1">
        <f t="array" aca="1" ref="H29:I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2744518.8044087961</v>
      </c>
      <c r="I29" s="3">
        <f ca="1"/>
        <v>5.43098816650174E-2</v>
      </c>
      <c r="L29" s="1">
        <f ca="1"/>
        <v>660270.01265970361</v>
      </c>
      <c r="N29" s="1">
        <f ca="1"/>
        <v>17755236.585669294</v>
      </c>
    </row>
    <row r="30" spans="2:14" x14ac:dyDescent="0.3">
      <c r="C30" s="1"/>
      <c r="D30" s="1"/>
      <c r="E30" s="1"/>
      <c r="G30">
        <v>26</v>
      </c>
      <c r="H30" s="2" cm="1">
        <f t="array" aca="1" ref="H30:I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1958014.2795683863</v>
      </c>
      <c r="I30" s="3">
        <f ca="1"/>
        <v>5.6936424662205984E-2</v>
      </c>
      <c r="L30" s="1">
        <f ca="1"/>
        <v>0</v>
      </c>
      <c r="N30" s="1">
        <f ca="1"/>
        <v>11323522.554190854</v>
      </c>
    </row>
    <row r="31" spans="2:14" x14ac:dyDescent="0.3">
      <c r="C31" s="1"/>
      <c r="D31" s="1"/>
      <c r="E31" s="1"/>
      <c r="G31">
        <v>27</v>
      </c>
      <c r="H31" s="2" cm="1">
        <f t="array" aca="1" ref="H31:I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1" s="3">
        <f ca="1"/>
        <v>1.9544353291072757E-2</v>
      </c>
      <c r="L31" s="1">
        <f ca="1"/>
        <v>10665341.837748064</v>
      </c>
      <c r="N31" s="1">
        <f ca="1"/>
        <v>732239.33492898068</v>
      </c>
    </row>
    <row r="32" spans="2:14" x14ac:dyDescent="0.3">
      <c r="C32" s="1"/>
      <c r="D32" s="1"/>
      <c r="E32" s="1"/>
      <c r="G32">
        <v>28</v>
      </c>
      <c r="H32" s="2" cm="1">
        <f t="array" aca="1" ref="H32:I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7163687.4871893898</v>
      </c>
      <c r="I32" s="3">
        <f ca="1"/>
        <v>7.3223424223015865E-2</v>
      </c>
      <c r="L32" s="1">
        <f ca="1"/>
        <v>111847.3335690768</v>
      </c>
      <c r="N32" s="1">
        <f ca="1"/>
        <v>1642125.5684372364</v>
      </c>
    </row>
    <row r="33" spans="3:14" x14ac:dyDescent="0.3">
      <c r="C33" s="1"/>
      <c r="D33" s="1"/>
      <c r="E33" s="1"/>
      <c r="G33">
        <v>29</v>
      </c>
      <c r="H33" s="2" cm="1">
        <f t="array" aca="1" ref="H33:I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3" s="3">
        <f ca="1"/>
        <v>3.0474276532633505E-2</v>
      </c>
      <c r="L33" s="1">
        <f ca="1"/>
        <v>3393841.481300808</v>
      </c>
      <c r="N33" s="1">
        <f ca="1"/>
        <v>4979335.2382326946</v>
      </c>
    </row>
    <row r="34" spans="3:14" x14ac:dyDescent="0.3">
      <c r="C34" s="1"/>
      <c r="D34" s="1"/>
      <c r="E34" s="1"/>
      <c r="G34">
        <v>30</v>
      </c>
      <c r="H34" s="2" cm="1">
        <f t="array" aca="1" ref="H34:I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984992.69508835487</v>
      </c>
      <c r="I34" s="3">
        <f ca="1"/>
        <v>3.7387512017554053E-2</v>
      </c>
      <c r="L34" s="1">
        <f ca="1"/>
        <v>2537821.2310853633</v>
      </c>
      <c r="N34" s="1">
        <f ca="1"/>
        <v>6324916.4737855894</v>
      </c>
    </row>
    <row r="35" spans="3:14" x14ac:dyDescent="0.3">
      <c r="C35" s="1"/>
      <c r="D35" s="1"/>
      <c r="E35" s="1"/>
      <c r="G35">
        <v>31</v>
      </c>
      <c r="H35" s="2" cm="1">
        <f t="array" aca="1" ref="H35:I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527748.79984363262</v>
      </c>
      <c r="I35" s="3">
        <f ca="1"/>
        <v>7.3780125484579615E-2</v>
      </c>
      <c r="L35" s="1">
        <f ca="1"/>
        <v>8724778.1877495609</v>
      </c>
      <c r="N35" s="1">
        <f ca="1"/>
        <v>3068189.0549804936</v>
      </c>
    </row>
    <row r="36" spans="3:14" x14ac:dyDescent="0.3">
      <c r="C36" s="1"/>
      <c r="D36" s="1"/>
      <c r="E36" s="1"/>
      <c r="G36">
        <v>32</v>
      </c>
      <c r="H36" s="2" cm="1">
        <f t="array" aca="1" ref="H36:I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151829.25016871668</v>
      </c>
      <c r="I36" s="3">
        <f ca="1"/>
        <v>4.3379438935923033E-2</v>
      </c>
      <c r="L36" s="1">
        <f ca="1"/>
        <v>0</v>
      </c>
      <c r="N36" s="1">
        <f ca="1"/>
        <v>0</v>
      </c>
    </row>
    <row r="37" spans="3:14" x14ac:dyDescent="0.3">
      <c r="C37" s="1"/>
      <c r="D37" s="1"/>
      <c r="E37" s="1"/>
      <c r="G37">
        <v>33</v>
      </c>
      <c r="H37" s="2" cm="1">
        <f t="array" aca="1" ref="H37:I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13840097.020165242</v>
      </c>
      <c r="I37" s="3">
        <f ca="1"/>
        <v>7.8924112705884106E-2</v>
      </c>
      <c r="L37" s="1">
        <f ca="1"/>
        <v>0</v>
      </c>
      <c r="N37" s="1">
        <f ca="1"/>
        <v>409237.45654777897</v>
      </c>
    </row>
    <row r="38" spans="3:14" x14ac:dyDescent="0.3">
      <c r="C38" s="1"/>
      <c r="D38" s="1"/>
      <c r="E38" s="1"/>
      <c r="G38">
        <v>34</v>
      </c>
      <c r="H38" s="2" cm="1">
        <f t="array" aca="1" ref="H38:I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1206682.100625807</v>
      </c>
      <c r="I38" s="3">
        <f ca="1"/>
        <v>4.7485229574811945E-2</v>
      </c>
      <c r="L38" s="1">
        <f ca="1"/>
        <v>374409.84502107988</v>
      </c>
      <c r="N38" s="1">
        <f ca="1"/>
        <v>0</v>
      </c>
    </row>
    <row r="39" spans="3:14" x14ac:dyDescent="0.3">
      <c r="C39" s="1"/>
      <c r="D39" s="1"/>
      <c r="E39" s="1"/>
      <c r="G39">
        <v>35</v>
      </c>
      <c r="H39" s="2" cm="1">
        <f t="array" aca="1" ref="H39:I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7144613.7351621855</v>
      </c>
      <c r="I39" s="3">
        <f ca="1"/>
        <v>7.2692502883167462E-2</v>
      </c>
      <c r="L39" s="1">
        <f ca="1"/>
        <v>14274706.236097094</v>
      </c>
      <c r="N39" s="1">
        <f ca="1"/>
        <v>0</v>
      </c>
    </row>
    <row r="40" spans="3:14" x14ac:dyDescent="0.3">
      <c r="C40" s="1"/>
      <c r="D40" s="1"/>
      <c r="E40" s="1"/>
      <c r="G40">
        <v>36</v>
      </c>
      <c r="H40" s="2" cm="1">
        <f t="array" aca="1" ref="H40:I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41692761.370701581</v>
      </c>
      <c r="I40" s="3">
        <f ca="1"/>
        <v>0.1048371254326738</v>
      </c>
      <c r="L40" s="1">
        <f ca="1"/>
        <v>4508841.3958748579</v>
      </c>
      <c r="N40" s="1">
        <f ca="1"/>
        <v>9011861.8426164165</v>
      </c>
    </row>
    <row r="41" spans="3:14" x14ac:dyDescent="0.3">
      <c r="C41" s="1"/>
      <c r="D41" s="1"/>
      <c r="E41" s="1"/>
      <c r="G41">
        <v>37</v>
      </c>
      <c r="H41" s="2" cm="1">
        <f t="array" aca="1" ref="H41:I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622841.36204289249</v>
      </c>
      <c r="I41" s="3">
        <f ca="1"/>
        <v>2.6519014898715342E-2</v>
      </c>
      <c r="L41" s="1">
        <f ca="1"/>
        <v>0</v>
      </c>
      <c r="N41" s="1">
        <f ca="1"/>
        <v>0</v>
      </c>
    </row>
    <row r="42" spans="3:14" x14ac:dyDescent="0.3">
      <c r="C42" s="1"/>
      <c r="D42" s="1"/>
      <c r="E42" s="1"/>
      <c r="G42">
        <v>38</v>
      </c>
      <c r="H42" s="2" cm="1">
        <f t="array" aca="1" ref="H42:I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28437826.626260489</v>
      </c>
      <c r="I42" s="3">
        <f ca="1"/>
        <v>0.10798733359618022</v>
      </c>
      <c r="L42" s="1">
        <f ca="1"/>
        <v>56768419.619942263</v>
      </c>
      <c r="N42" s="1">
        <f ca="1"/>
        <v>2910752.7633028068</v>
      </c>
    </row>
    <row r="43" spans="3:14" x14ac:dyDescent="0.3">
      <c r="C43" s="1"/>
      <c r="D43" s="1"/>
      <c r="E43" s="1"/>
      <c r="G43">
        <v>39</v>
      </c>
      <c r="H43" s="2" cm="1">
        <f t="array" aca="1" ref="H43:I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1173911.1384393764</v>
      </c>
      <c r="I43" s="3">
        <f ca="1"/>
        <v>5.4789436160782398E-2</v>
      </c>
      <c r="L43" s="1">
        <f ca="1"/>
        <v>0</v>
      </c>
      <c r="N43" s="1">
        <f ca="1"/>
        <v>1043095.9096877296</v>
      </c>
    </row>
    <row r="44" spans="3:14" x14ac:dyDescent="0.3">
      <c r="C44" s="1"/>
      <c r="D44" s="1"/>
      <c r="E44" s="1"/>
      <c r="G44">
        <v>40</v>
      </c>
      <c r="H44" s="2" cm="1">
        <f t="array" aca="1" ref="H44:I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3988295.7099554492</v>
      </c>
      <c r="I44" s="3">
        <f ca="1"/>
        <v>6.201455750790099E-2</v>
      </c>
      <c r="L44" s="1">
        <f ca="1"/>
        <v>0</v>
      </c>
      <c r="N44" s="1">
        <f ca="1"/>
        <v>8350119.0969942901</v>
      </c>
    </row>
    <row r="45" spans="3:14" x14ac:dyDescent="0.3">
      <c r="C45" s="1"/>
      <c r="D45" s="1"/>
      <c r="E45" s="1"/>
      <c r="G45">
        <v>41</v>
      </c>
      <c r="H45" s="2" cm="1">
        <f t="array" aca="1" ref="H45:I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12664314.246554101</v>
      </c>
      <c r="I45" s="3">
        <f ca="1"/>
        <v>8.4868585980846192E-2</v>
      </c>
      <c r="L45" s="1">
        <f ca="1"/>
        <v>8776704.3813689221</v>
      </c>
      <c r="N45" s="1">
        <f ca="1"/>
        <v>7069712.4377885275</v>
      </c>
    </row>
    <row r="46" spans="3:14" x14ac:dyDescent="0.3">
      <c r="C46" s="1"/>
      <c r="D46" s="1"/>
      <c r="E46" s="1"/>
      <c r="G46">
        <v>42</v>
      </c>
      <c r="H46" s="2" cm="1">
        <f t="array" aca="1" ref="H46:I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1361657.9997912676</v>
      </c>
      <c r="I46" s="3">
        <f ca="1"/>
        <v>4.3143476104963094E-2</v>
      </c>
      <c r="L46" s="1">
        <f ca="1"/>
        <v>0</v>
      </c>
      <c r="N46" s="1">
        <f ca="1"/>
        <v>1245208.6127996971</v>
      </c>
    </row>
    <row r="47" spans="3:14" x14ac:dyDescent="0.3">
      <c r="C47" s="1"/>
      <c r="D47" s="1"/>
      <c r="E47" s="1"/>
      <c r="G47">
        <v>43</v>
      </c>
      <c r="H47" s="2" cm="1">
        <f t="array" aca="1" ref="H47:I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9817071.0546469837</v>
      </c>
      <c r="I47" s="3">
        <f ca="1"/>
        <v>7.1484026260470554E-2</v>
      </c>
      <c r="L47" s="1">
        <f ca="1"/>
        <v>259091.90299479623</v>
      </c>
      <c r="N47" s="1">
        <f ca="1"/>
        <v>40938645.056886926</v>
      </c>
    </row>
    <row r="48" spans="3:14" x14ac:dyDescent="0.3">
      <c r="C48" s="1"/>
      <c r="D48" s="1"/>
      <c r="E48" s="1"/>
      <c r="G48">
        <v>44</v>
      </c>
      <c r="H48" s="2" cm="1">
        <f t="array" aca="1" ref="H48:I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16554969.030004844</v>
      </c>
      <c r="I48" s="3">
        <f ca="1"/>
        <v>8.2153938198432627E-2</v>
      </c>
      <c r="L48" s="1">
        <f ca="1"/>
        <v>7572825.4526833231</v>
      </c>
      <c r="N48" s="1">
        <f ca="1"/>
        <v>163842.7755768323</v>
      </c>
    </row>
    <row r="49" spans="3:14" x14ac:dyDescent="0.3">
      <c r="C49" s="1"/>
      <c r="D49" s="1"/>
      <c r="E49" s="1"/>
      <c r="G49">
        <v>45</v>
      </c>
      <c r="H49" s="2" cm="1">
        <f t="array" aca="1" ref="H49:I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10056130.478057234</v>
      </c>
      <c r="I49" s="3">
        <f ca="1"/>
        <v>7.3737125777242923E-2</v>
      </c>
      <c r="L49" s="1">
        <f ca="1"/>
        <v>634463.62251338887</v>
      </c>
      <c r="N49" s="1">
        <f ca="1"/>
        <v>0</v>
      </c>
    </row>
    <row r="50" spans="3:14" x14ac:dyDescent="0.3">
      <c r="C50" s="1"/>
      <c r="D50" s="1"/>
      <c r="E50" s="1"/>
      <c r="G50">
        <v>46</v>
      </c>
      <c r="H50" s="2" cm="1">
        <f t="array" aca="1" ref="H50:I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2257598.9093971984</v>
      </c>
      <c r="I50" s="3">
        <f ca="1"/>
        <v>6.4675412721040576E-2</v>
      </c>
      <c r="L50" s="1">
        <f ca="1"/>
        <v>3259227.0750871426</v>
      </c>
      <c r="N50" s="1">
        <f ca="1"/>
        <v>26486383.686177813</v>
      </c>
    </row>
    <row r="51" spans="3:14" x14ac:dyDescent="0.3">
      <c r="C51" s="1"/>
      <c r="D51" s="1"/>
      <c r="E51" s="1"/>
      <c r="G51">
        <v>47</v>
      </c>
      <c r="H51" s="2" cm="1">
        <f t="array" aca="1" ref="H51:I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997886.48500488745</v>
      </c>
      <c r="I51" s="3">
        <f ca="1"/>
        <v>4.1710318120771153E-2</v>
      </c>
      <c r="L51" s="1">
        <f ca="1"/>
        <v>237777.90778953879</v>
      </c>
      <c r="N51" s="1">
        <f ca="1"/>
        <v>0</v>
      </c>
    </row>
    <row r="52" spans="3:14" x14ac:dyDescent="0.3">
      <c r="C52" s="1"/>
      <c r="D52" s="1"/>
      <c r="E52" s="1"/>
      <c r="G52">
        <v>48</v>
      </c>
      <c r="H52" s="2" cm="1">
        <f t="array" aca="1" ref="H52:I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2" s="3">
        <f ca="1"/>
        <v>5.9173581320469362E-2</v>
      </c>
      <c r="L52" s="1">
        <f ca="1"/>
        <v>8571467.0087357219</v>
      </c>
      <c r="N52" s="1">
        <f ca="1"/>
        <v>0</v>
      </c>
    </row>
    <row r="53" spans="3:14" x14ac:dyDescent="0.3">
      <c r="C53" s="1"/>
      <c r="D53" s="1"/>
      <c r="E53" s="1"/>
      <c r="G53">
        <v>49</v>
      </c>
      <c r="H53" s="2" cm="1">
        <f t="array" aca="1" ref="H53:I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3" s="3">
        <f ca="1"/>
        <v>4.0214461871862783E-2</v>
      </c>
      <c r="L53" s="1">
        <f ca="1"/>
        <v>1280755.7379683168</v>
      </c>
      <c r="N53" s="1">
        <f ca="1"/>
        <v>0</v>
      </c>
    </row>
    <row r="54" spans="3:14" x14ac:dyDescent="0.3">
      <c r="C54" s="1"/>
      <c r="D54" s="1"/>
      <c r="E54" s="1"/>
      <c r="G54">
        <v>50</v>
      </c>
      <c r="H54" s="2" cm="1">
        <f t="array" aca="1" ref="H54:I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420464.85068538482</v>
      </c>
      <c r="I54" s="3">
        <f ca="1"/>
        <v>3.5002760588098147E-2</v>
      </c>
      <c r="L54" s="1">
        <f ca="1"/>
        <v>0</v>
      </c>
      <c r="N54" s="1">
        <f ca="1"/>
        <v>1251358.0344947292</v>
      </c>
    </row>
    <row r="55" spans="3:14" x14ac:dyDescent="0.3">
      <c r="C55" s="1"/>
      <c r="D55" s="1"/>
      <c r="E55" s="1"/>
      <c r="G55">
        <v>51</v>
      </c>
      <c r="H55" s="2" cm="1">
        <f t="array" aca="1" ref="H55:I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7051977.2285153624</v>
      </c>
      <c r="I55" s="3">
        <f ca="1"/>
        <v>6.5181110128856593E-2</v>
      </c>
      <c r="L55" s="1">
        <f ca="1"/>
        <v>3570878.4375459515</v>
      </c>
      <c r="N55" s="1">
        <f ca="1"/>
        <v>819930.20767048921</v>
      </c>
    </row>
    <row r="56" spans="3:14" x14ac:dyDescent="0.3">
      <c r="C56" s="1"/>
      <c r="D56" s="1"/>
      <c r="E56" s="1"/>
      <c r="G56">
        <v>52</v>
      </c>
      <c r="H56" s="2" cm="1">
        <f t="array" aca="1" ref="H56:I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6888769.3224200597</v>
      </c>
      <c r="I56" s="3">
        <f ca="1"/>
        <v>6.6390288203404896E-2</v>
      </c>
      <c r="L56" s="1">
        <f ca="1"/>
        <v>0</v>
      </c>
      <c r="N56" s="1">
        <f ca="1"/>
        <v>49977750.095630467</v>
      </c>
    </row>
    <row r="57" spans="3:14" x14ac:dyDescent="0.3">
      <c r="C57" s="1"/>
      <c r="D57" s="1"/>
      <c r="E57" s="1"/>
      <c r="G57">
        <v>53</v>
      </c>
      <c r="H57" s="2" cm="1">
        <f t="array" aca="1" ref="H57:I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5799509.8186754491</v>
      </c>
      <c r="I57" s="3">
        <f ca="1"/>
        <v>6.8085256634403971E-2</v>
      </c>
      <c r="L57" s="1">
        <f ca="1"/>
        <v>16649795.130485395</v>
      </c>
      <c r="N57" s="1">
        <f ca="1"/>
        <v>981340.39626499917</v>
      </c>
    </row>
    <row r="58" spans="3:14" x14ac:dyDescent="0.3">
      <c r="C58" s="1"/>
      <c r="D58" s="1"/>
      <c r="E58" s="1"/>
      <c r="G58">
        <v>54</v>
      </c>
      <c r="H58" s="2" cm="1">
        <f t="array" aca="1" ref="H58:I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8" s="3">
        <f ca="1"/>
        <v>5.1275530150031869E-2</v>
      </c>
      <c r="L58" s="1">
        <f ca="1"/>
        <v>3984653.3445249186</v>
      </c>
      <c r="N58" s="1">
        <f ca="1"/>
        <v>24685811.416525941</v>
      </c>
    </row>
    <row r="59" spans="3:14" x14ac:dyDescent="0.3">
      <c r="G59">
        <v>55</v>
      </c>
      <c r="H59" s="2" cm="1">
        <f t="array" aca="1" ref="H59:I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6884063.5275490824</v>
      </c>
      <c r="I59" s="3">
        <f ca="1"/>
        <v>6.9998077910376086E-2</v>
      </c>
      <c r="L59" s="1">
        <f ca="1"/>
        <v>5230311.2969485084</v>
      </c>
      <c r="N59" s="1">
        <f ca="1"/>
        <v>5060002.7179597244</v>
      </c>
    </row>
    <row r="60" spans="3:14" x14ac:dyDescent="0.3">
      <c r="G60">
        <v>56</v>
      </c>
      <c r="H60" s="2" cm="1">
        <f t="array" aca="1" ref="H60:I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956380.25346128829</v>
      </c>
      <c r="I60" s="3">
        <f ca="1"/>
        <v>4.7763477309998977E-2</v>
      </c>
      <c r="L60" s="1">
        <f ca="1"/>
        <v>0</v>
      </c>
      <c r="N60" s="1">
        <f ca="1"/>
        <v>11150190.068953335</v>
      </c>
    </row>
    <row r="61" spans="3:14" x14ac:dyDescent="0.3">
      <c r="G61">
        <v>57</v>
      </c>
      <c r="H61" s="2" cm="1">
        <f t="array" aca="1" ref="H61:I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3496815.5886584097</v>
      </c>
      <c r="I61" s="3">
        <f ca="1"/>
        <v>6.3100143865891897E-2</v>
      </c>
      <c r="L61" s="1">
        <f ca="1"/>
        <v>1505802.1346007572</v>
      </c>
      <c r="N61" s="1">
        <f ca="1"/>
        <v>0</v>
      </c>
    </row>
    <row r="62" spans="3:14" x14ac:dyDescent="0.3">
      <c r="G62">
        <v>58</v>
      </c>
      <c r="H62" s="2" cm="1">
        <f t="array" aca="1" ref="H62:I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16974657.570260979</v>
      </c>
      <c r="I62" s="3">
        <f ca="1"/>
        <v>8.5415159483757955E-2</v>
      </c>
      <c r="L62" s="1">
        <f ca="1"/>
        <v>2506283.9179306114</v>
      </c>
      <c r="N62" s="1">
        <f ca="1"/>
        <v>9768288.5238396879</v>
      </c>
    </row>
    <row r="63" spans="3:14" x14ac:dyDescent="0.3">
      <c r="G63">
        <v>59</v>
      </c>
      <c r="H63" s="2" cm="1">
        <f t="array" aca="1" ref="H63:I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3" s="3">
        <f ca="1"/>
        <v>3.9066323159816091E-2</v>
      </c>
      <c r="L63" s="1">
        <f ca="1"/>
        <v>0</v>
      </c>
      <c r="N63" s="1">
        <f ca="1"/>
        <v>1581389.141682382</v>
      </c>
    </row>
    <row r="64" spans="3:14" x14ac:dyDescent="0.3">
      <c r="G64">
        <v>60</v>
      </c>
      <c r="H64" s="2" cm="1">
        <f t="array" aca="1" ref="H64:I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18348055.516184963</v>
      </c>
      <c r="I64" s="3">
        <f ca="1"/>
        <v>9.1122263738772552E-2</v>
      </c>
      <c r="L64" s="1">
        <f ca="1"/>
        <v>2418914.3303219662</v>
      </c>
      <c r="N64" s="1">
        <f ca="1"/>
        <v>14964785.313343769</v>
      </c>
    </row>
    <row r="65" spans="7:14" x14ac:dyDescent="0.3">
      <c r="G65">
        <v>61</v>
      </c>
      <c r="H65" s="2" cm="1">
        <f t="array" aca="1" ref="H65:I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5" s="3">
        <f ca="1"/>
        <v>1.5051772591214634E-2</v>
      </c>
      <c r="L65" s="1">
        <f ca="1"/>
        <v>7872873.8027894935</v>
      </c>
      <c r="N65" s="1">
        <f ca="1"/>
        <v>2779376.7858667304</v>
      </c>
    </row>
    <row r="66" spans="7:14" x14ac:dyDescent="0.3">
      <c r="G66">
        <v>62</v>
      </c>
      <c r="H66" s="2" cm="1">
        <f t="array" aca="1" ref="H66:I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6" s="3">
        <f ca="1"/>
        <v>4.5387996210638291E-2</v>
      </c>
      <c r="L66" s="1">
        <f ca="1"/>
        <v>0</v>
      </c>
      <c r="N66" s="1">
        <f ca="1"/>
        <v>3260592.8783162693</v>
      </c>
    </row>
    <row r="67" spans="7:14" x14ac:dyDescent="0.3">
      <c r="G67">
        <v>63</v>
      </c>
      <c r="H67" s="2" cm="1">
        <f t="array" aca="1" ref="H67:I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3397435.4821229051</v>
      </c>
      <c r="I67" s="3">
        <f ca="1"/>
        <v>5.3401721685136093E-2</v>
      </c>
      <c r="L67" s="1">
        <f ca="1"/>
        <v>1627533.9769431986</v>
      </c>
      <c r="N67" s="1">
        <f ca="1"/>
        <v>12782730.89591796</v>
      </c>
    </row>
    <row r="68" spans="7:14" x14ac:dyDescent="0.3">
      <c r="G68">
        <v>64</v>
      </c>
      <c r="H68" s="2" cm="1">
        <f t="array" aca="1" ref="H68:I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8" s="3">
        <f ca="1"/>
        <v>4.7978633994603184E-2</v>
      </c>
      <c r="L68" s="1">
        <f ca="1"/>
        <v>4175497.3961349521</v>
      </c>
      <c r="N68" s="1">
        <f ca="1"/>
        <v>5567162.6352330483</v>
      </c>
    </row>
    <row r="69" spans="7:14" x14ac:dyDescent="0.3">
      <c r="G69">
        <v>65</v>
      </c>
      <c r="H69" s="2" cm="1">
        <f t="array" aca="1" ref="H69:I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79437313.226410523</v>
      </c>
      <c r="I69" s="3">
        <f ca="1"/>
        <v>0.1262728982293008</v>
      </c>
      <c r="L69" s="1">
        <f ca="1"/>
        <v>266692.69203030493</v>
      </c>
      <c r="N69" s="1">
        <f ca="1"/>
        <v>0</v>
      </c>
    </row>
    <row r="70" spans="7:14" x14ac:dyDescent="0.3">
      <c r="G70">
        <v>66</v>
      </c>
      <c r="H70" s="2" cm="1">
        <f t="array" aca="1" ref="H70:I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14623558.604888599</v>
      </c>
      <c r="I70" s="3">
        <f ca="1"/>
        <v>9.134632699866943E-2</v>
      </c>
      <c r="L70" s="1">
        <f ca="1"/>
        <v>0</v>
      </c>
      <c r="N70" s="1">
        <f ca="1"/>
        <v>7878745.2368534151</v>
      </c>
    </row>
    <row r="71" spans="7:14" x14ac:dyDescent="0.3">
      <c r="G71">
        <v>67</v>
      </c>
      <c r="H71" s="2" cm="1">
        <f t="array" aca="1" ref="H71:I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19146516.829472616</v>
      </c>
      <c r="I71" s="3">
        <f ca="1"/>
        <v>9.0000395641968933E-2</v>
      </c>
      <c r="L71" s="1">
        <f ca="1"/>
        <v>0</v>
      </c>
      <c r="N71" s="1">
        <f ca="1"/>
        <v>3092279.5489778137</v>
      </c>
    </row>
    <row r="72" spans="7:14" x14ac:dyDescent="0.3">
      <c r="G72">
        <v>68</v>
      </c>
      <c r="H72" s="2" cm="1">
        <f t="array" aca="1" ref="H72:I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3813269.8220749982</v>
      </c>
      <c r="I72" s="3">
        <f ca="1"/>
        <v>7.4068248014268215E-2</v>
      </c>
      <c r="L72" s="1">
        <f ca="1"/>
        <v>7979992.9226906719</v>
      </c>
      <c r="N72" s="1">
        <f ca="1"/>
        <v>9225049.9357564654</v>
      </c>
    </row>
    <row r="73" spans="7:14" x14ac:dyDescent="0.3">
      <c r="G73">
        <v>69</v>
      </c>
      <c r="H73" s="2" cm="1">
        <f t="array" aca="1" ref="H73:I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19835409.916225132</v>
      </c>
      <c r="I73" s="3">
        <f ca="1"/>
        <v>9.0217836227381915E-2</v>
      </c>
      <c r="L73" s="1">
        <f ca="1"/>
        <v>5709574.4252480706</v>
      </c>
      <c r="N73" s="1">
        <f ca="1"/>
        <v>6666391.4242316652</v>
      </c>
    </row>
    <row r="74" spans="7:14" x14ac:dyDescent="0.3">
      <c r="G74">
        <v>70</v>
      </c>
      <c r="H74" s="2" cm="1">
        <f t="array" aca="1" ref="H74:I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4" s="3">
        <f ca="1"/>
        <v>3.2329532033660825E-2</v>
      </c>
      <c r="L74" s="1">
        <f ca="1"/>
        <v>7958272.1299747732</v>
      </c>
      <c r="N74" s="1">
        <f ca="1"/>
        <v>608037.41924316541</v>
      </c>
    </row>
    <row r="75" spans="7:14" x14ac:dyDescent="0.3">
      <c r="G75">
        <v>71</v>
      </c>
      <c r="H75" s="2" cm="1">
        <f t="array" aca="1" ref="H75:I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3557153.9581796485</v>
      </c>
      <c r="I75" s="3">
        <f ca="1"/>
        <v>6.0285463970533956E-2</v>
      </c>
      <c r="L75" s="1">
        <f ca="1"/>
        <v>16763948.085005887</v>
      </c>
      <c r="N75" s="1">
        <f ca="1"/>
        <v>0</v>
      </c>
    </row>
    <row r="76" spans="7:14" x14ac:dyDescent="0.3">
      <c r="G76">
        <v>72</v>
      </c>
      <c r="H76" s="2" cm="1">
        <f t="array" aca="1" ref="H76:I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2708767.6081293328</v>
      </c>
      <c r="I76" s="3">
        <f ca="1"/>
        <v>5.7699010153855201E-2</v>
      </c>
      <c r="L76" s="1">
        <f ca="1"/>
        <v>1676703.199466187</v>
      </c>
      <c r="N76" s="1">
        <f ca="1"/>
        <v>9655451.7358598318</v>
      </c>
    </row>
    <row r="77" spans="7:14" x14ac:dyDescent="0.3">
      <c r="G77">
        <v>73</v>
      </c>
      <c r="H77" s="2" cm="1">
        <f t="array" aca="1" ref="H77:I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5973238.1976838894</v>
      </c>
      <c r="I77" s="3">
        <f ca="1"/>
        <v>6.39491368860228E-2</v>
      </c>
      <c r="L77" s="1">
        <f ca="1"/>
        <v>8377058.3017166359</v>
      </c>
      <c r="N77" s="1">
        <f ca="1"/>
        <v>4052687.1165435547</v>
      </c>
    </row>
    <row r="78" spans="7:14" x14ac:dyDescent="0.3">
      <c r="G78">
        <v>74</v>
      </c>
      <c r="H78" s="2" cm="1">
        <f t="array" aca="1" ref="H78:I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5859318.3755546659</v>
      </c>
      <c r="I78" s="3">
        <f ca="1"/>
        <v>5.8995533262657586E-2</v>
      </c>
      <c r="L78" s="1">
        <f ca="1"/>
        <v>0</v>
      </c>
      <c r="N78" s="1">
        <f ca="1"/>
        <v>2582173.8003639611</v>
      </c>
    </row>
    <row r="79" spans="7:14" x14ac:dyDescent="0.3">
      <c r="G79">
        <v>75</v>
      </c>
      <c r="H79" s="2" cm="1">
        <f t="array" aca="1" ref="H79:I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1688370.0354975632</v>
      </c>
      <c r="I79" s="3">
        <f ca="1"/>
        <v>4.7199321620577911E-2</v>
      </c>
      <c r="L79" s="1">
        <f ca="1"/>
        <v>10116155.368746025</v>
      </c>
      <c r="N79" s="1">
        <f ca="1"/>
        <v>0</v>
      </c>
    </row>
    <row r="80" spans="7:14" x14ac:dyDescent="0.3">
      <c r="G80">
        <v>76</v>
      </c>
      <c r="H80" s="2" cm="1">
        <f t="array" aca="1" ref="H80:I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10948601.659308573</v>
      </c>
      <c r="I80" s="3">
        <f ca="1"/>
        <v>8.1374580363511584E-2</v>
      </c>
      <c r="L80" s="1">
        <f ca="1"/>
        <v>10276695.068014562</v>
      </c>
      <c r="N80" s="1">
        <f ca="1"/>
        <v>7054915.6258677486</v>
      </c>
    </row>
    <row r="81" spans="7:14" x14ac:dyDescent="0.3">
      <c r="G81">
        <v>77</v>
      </c>
      <c r="H81" s="2" cm="1">
        <f t="array" aca="1" ref="H81:I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2258730.5763129792</v>
      </c>
      <c r="I81" s="3">
        <f ca="1"/>
        <v>6.364520762494659E-2</v>
      </c>
      <c r="L81" s="1">
        <f ca="1"/>
        <v>907794.83072453691</v>
      </c>
      <c r="N81" s="1">
        <f ca="1"/>
        <v>0</v>
      </c>
    </row>
    <row r="82" spans="7:14" x14ac:dyDescent="0.3">
      <c r="G82">
        <v>78</v>
      </c>
      <c r="H82" s="2" cm="1">
        <f t="array" aca="1" ref="H82:I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19825576.395616993</v>
      </c>
      <c r="I82" s="3">
        <f ca="1"/>
        <v>8.8227099276451143E-2</v>
      </c>
      <c r="L82" s="1">
        <f ca="1"/>
        <v>5230679.0517105814</v>
      </c>
      <c r="N82" s="1">
        <f ca="1"/>
        <v>10772196.785900366</v>
      </c>
    </row>
    <row r="83" spans="7:14" x14ac:dyDescent="0.3">
      <c r="G83">
        <v>79</v>
      </c>
      <c r="H83" s="2" cm="1">
        <f t="array" aca="1" ref="H83:I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665021.11926601385</v>
      </c>
      <c r="I83" s="3">
        <f ca="1"/>
        <v>6.3492406949579208E-2</v>
      </c>
      <c r="L83" s="1">
        <f ca="1"/>
        <v>27838178.172570881</v>
      </c>
      <c r="N83" s="1">
        <f ca="1"/>
        <v>634200.00154513284</v>
      </c>
    </row>
    <row r="84" spans="7:14" x14ac:dyDescent="0.3">
      <c r="G84">
        <v>80</v>
      </c>
      <c r="H84" s="2" cm="1">
        <f t="array" aca="1" ref="H84:I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685862.93563969224</v>
      </c>
      <c r="I84" s="3">
        <f ca="1"/>
        <v>2.7568659196093043E-2</v>
      </c>
      <c r="L84" s="1">
        <f ca="1"/>
        <v>5028433.3124372335</v>
      </c>
      <c r="N84" s="1">
        <f ca="1"/>
        <v>2913138.6568091889</v>
      </c>
    </row>
    <row r="85" spans="7:14" x14ac:dyDescent="0.3">
      <c r="G85">
        <v>81</v>
      </c>
      <c r="H85" s="2" cm="1">
        <f t="array" aca="1" ref="H85:I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22371618.871245574</v>
      </c>
      <c r="I85" s="3">
        <f ca="1"/>
        <v>9.1613377943026486E-2</v>
      </c>
      <c r="L85" s="1">
        <f ca="1"/>
        <v>0</v>
      </c>
      <c r="N85" s="1">
        <f ca="1"/>
        <v>2860123.2974047274</v>
      </c>
    </row>
    <row r="86" spans="7:14" x14ac:dyDescent="0.3">
      <c r="G86">
        <v>82</v>
      </c>
      <c r="H86" s="2" cm="1">
        <f t="array" aca="1" ref="H86:I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6" s="3">
        <f ca="1"/>
        <v>1.5102204613027314E-2</v>
      </c>
      <c r="L86" s="1">
        <f ca="1"/>
        <v>16118130.691602848</v>
      </c>
      <c r="N86" s="1">
        <f ca="1"/>
        <v>8889983.3841326684</v>
      </c>
    </row>
    <row r="87" spans="7:14" x14ac:dyDescent="0.3">
      <c r="G87">
        <v>83</v>
      </c>
      <c r="H87" s="2" cm="1">
        <f t="array" aca="1" ref="H87:I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7" s="3">
        <f ca="1"/>
        <v>9.8567757500064752E-3</v>
      </c>
      <c r="L87" s="1">
        <f ca="1"/>
        <v>0</v>
      </c>
      <c r="N87" s="1">
        <f ca="1"/>
        <v>1540182.9602151678</v>
      </c>
    </row>
    <row r="88" spans="7:14" x14ac:dyDescent="0.3">
      <c r="G88">
        <v>84</v>
      </c>
      <c r="H88" s="2" cm="1">
        <f t="array" aca="1" ref="H88:I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8116082.7100229897</v>
      </c>
      <c r="I88" s="3">
        <f ca="1"/>
        <v>7.2308197110399305E-2</v>
      </c>
      <c r="L88" s="1">
        <f ca="1"/>
        <v>18135023.618541576</v>
      </c>
      <c r="N88" s="1">
        <f ca="1"/>
        <v>0</v>
      </c>
    </row>
    <row r="89" spans="7:14" x14ac:dyDescent="0.3">
      <c r="G89">
        <v>85</v>
      </c>
      <c r="H89" s="2" cm="1">
        <f t="array" aca="1" ref="H89:I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6342503.7954849526</v>
      </c>
      <c r="I89" s="3">
        <f ca="1"/>
        <v>7.3002742893154976E-2</v>
      </c>
      <c r="L89" s="1">
        <f ca="1"/>
        <v>1254344.0121122866</v>
      </c>
      <c r="N89" s="1">
        <f ca="1"/>
        <v>553492.06510771008</v>
      </c>
    </row>
    <row r="90" spans="7:14" x14ac:dyDescent="0.3">
      <c r="G90">
        <v>86</v>
      </c>
      <c r="H90" s="2" cm="1">
        <f t="array" aca="1" ref="H90:I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4004747.9381682114</v>
      </c>
      <c r="I90" s="3">
        <f ca="1"/>
        <v>7.8553161912106789E-2</v>
      </c>
      <c r="L90" s="1">
        <f ca="1"/>
        <v>0</v>
      </c>
      <c r="N90" s="1">
        <f ca="1"/>
        <v>68644478.157725349</v>
      </c>
    </row>
    <row r="91" spans="7:14" x14ac:dyDescent="0.3">
      <c r="G91">
        <v>87</v>
      </c>
      <c r="H91" s="2" cm="1">
        <f t="array" aca="1" ref="H91:I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4010163.5018170411</v>
      </c>
      <c r="I91" s="3">
        <f ca="1"/>
        <v>6.6809246694308114E-2</v>
      </c>
      <c r="L91" s="1">
        <f ca="1"/>
        <v>27354651.438281223</v>
      </c>
      <c r="N91" s="1">
        <f ca="1"/>
        <v>0</v>
      </c>
    </row>
    <row r="92" spans="7:14" x14ac:dyDescent="0.3">
      <c r="G92">
        <v>88</v>
      </c>
      <c r="H92" s="2" cm="1">
        <f t="array" aca="1" ref="H92:I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8693830.139897041</v>
      </c>
      <c r="I92" s="3">
        <f ca="1"/>
        <v>7.8100366640383931E-2</v>
      </c>
      <c r="L92" s="1">
        <f ca="1"/>
        <v>4000548.682225998</v>
      </c>
      <c r="N92" s="1">
        <f ca="1"/>
        <v>7579625.362968633</v>
      </c>
    </row>
    <row r="93" spans="7:14" x14ac:dyDescent="0.3">
      <c r="G93">
        <v>89</v>
      </c>
      <c r="H93" s="2" cm="1">
        <f t="array" aca="1" ref="H93:I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1914198.419496468</v>
      </c>
      <c r="I93" s="3">
        <f ca="1"/>
        <v>4.331440185645119E-2</v>
      </c>
      <c r="L93" s="1">
        <f ca="1"/>
        <v>0</v>
      </c>
      <c r="N93" s="1">
        <f ca="1"/>
        <v>1210873.9431804388</v>
      </c>
    </row>
    <row r="94" spans="7:14" x14ac:dyDescent="0.3">
      <c r="G94">
        <v>90</v>
      </c>
      <c r="H94" s="2" cm="1">
        <f t="array" aca="1" ref="H94:I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160427.01523667926</v>
      </c>
      <c r="I94" s="3">
        <f ca="1"/>
        <v>4.8171003398550627E-2</v>
      </c>
      <c r="L94" s="1">
        <f ca="1"/>
        <v>7336508.8821713924</v>
      </c>
      <c r="N94" s="1">
        <f ca="1"/>
        <v>11669372.54322315</v>
      </c>
    </row>
    <row r="95" spans="7:14" x14ac:dyDescent="0.3">
      <c r="G95">
        <v>91</v>
      </c>
      <c r="H95" s="2" cm="1">
        <f t="array" aca="1" ref="H95:I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2515955.4082393618</v>
      </c>
      <c r="I95" s="3">
        <f ca="1"/>
        <v>5.1042558267865093E-2</v>
      </c>
      <c r="L95" s="1">
        <f ca="1"/>
        <v>5314452.7936198181</v>
      </c>
      <c r="N95" s="1">
        <f ca="1"/>
        <v>109681.8989433722</v>
      </c>
    </row>
    <row r="96" spans="7:14" x14ac:dyDescent="0.3">
      <c r="G96">
        <v>92</v>
      </c>
      <c r="H96" s="2" cm="1">
        <f t="array" aca="1" ref="H96:I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1261397.6325651491</v>
      </c>
      <c r="I96" s="3">
        <f ca="1"/>
        <v>5.8843951733558532E-2</v>
      </c>
      <c r="L96" s="1">
        <f ca="1"/>
        <v>0</v>
      </c>
      <c r="N96" s="1">
        <f ca="1"/>
        <v>1667606.134607767</v>
      </c>
    </row>
    <row r="97" spans="7:14" x14ac:dyDescent="0.3">
      <c r="G97">
        <v>93</v>
      </c>
      <c r="H97" s="2" cm="1">
        <f t="array" aca="1" ref="H97:I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7" s="3">
        <f ca="1"/>
        <v>1.4045760268435247E-2</v>
      </c>
      <c r="L97" s="1">
        <f ca="1"/>
        <v>44611451.435734168</v>
      </c>
      <c r="N97" s="1">
        <f ca="1"/>
        <v>9690558.8065659758</v>
      </c>
    </row>
    <row r="98" spans="7:14" x14ac:dyDescent="0.3">
      <c r="G98">
        <v>94</v>
      </c>
      <c r="H98" s="2" cm="1">
        <f t="array" aca="1" ref="H98:I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7685718.3826289419</v>
      </c>
      <c r="I98" s="3">
        <f ca="1"/>
        <v>6.7610449486077653E-2</v>
      </c>
      <c r="L98" s="1">
        <f ca="1"/>
        <v>0</v>
      </c>
      <c r="N98" s="1">
        <f ca="1"/>
        <v>2458629.3936575274</v>
      </c>
    </row>
    <row r="99" spans="7:14" x14ac:dyDescent="0.3">
      <c r="G99">
        <v>95</v>
      </c>
      <c r="H99" s="2" cm="1">
        <f t="array" aca="1" ref="H99:I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4087138.8906444991</v>
      </c>
      <c r="I99" s="3">
        <f ca="1"/>
        <v>6.2313426461972556E-2</v>
      </c>
      <c r="L99" s="1">
        <f ca="1"/>
        <v>9042062.1798341684</v>
      </c>
      <c r="N99" s="1">
        <f ca="1"/>
        <v>2426046.9424163722</v>
      </c>
    </row>
    <row r="100" spans="7:14" x14ac:dyDescent="0.3">
      <c r="G100">
        <v>96</v>
      </c>
      <c r="H100" s="2" cm="1">
        <f t="array" aca="1" ref="H100:I1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8464441.0562117342</v>
      </c>
      <c r="I100" s="3">
        <f ca="1"/>
        <v>7.5236005154246832E-2</v>
      </c>
      <c r="L100" s="1">
        <f ca="1"/>
        <v>45059727.809907839</v>
      </c>
      <c r="N100" s="1">
        <f ca="1"/>
        <v>3431074.0613097865</v>
      </c>
    </row>
    <row r="101" spans="7:14" x14ac:dyDescent="0.3">
      <c r="G101">
        <v>97</v>
      </c>
      <c r="H101" s="2" cm="1">
        <f t="array" aca="1" ref="H101:I1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4576570.1650862321</v>
      </c>
      <c r="I101" s="3">
        <f ca="1"/>
        <v>5.6559329451774332E-2</v>
      </c>
      <c r="L101" s="1">
        <f ca="1"/>
        <v>1909775.1368720741</v>
      </c>
      <c r="N101" s="1">
        <f ca="1"/>
        <v>41641469.886444278</v>
      </c>
    </row>
    <row r="102" spans="7:14" x14ac:dyDescent="0.3">
      <c r="G102">
        <v>98</v>
      </c>
      <c r="H102" s="2" cm="1">
        <f t="array" aca="1" ref="H102:I1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2" s="3">
        <f ca="1"/>
        <v>2.4633410570941761E-2</v>
      </c>
      <c r="L102" s="1">
        <f ca="1"/>
        <v>84358.988891267611</v>
      </c>
      <c r="N102">
        <f ca="1"/>
        <v>35972366.017570376</v>
      </c>
    </row>
    <row r="103" spans="7:14" x14ac:dyDescent="0.3">
      <c r="G103">
        <v>99</v>
      </c>
      <c r="H103" s="2" cm="1">
        <f t="array" aca="1" ref="H103:I1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299638.17790797795</v>
      </c>
      <c r="I103" s="3">
        <f ca="1"/>
        <v>3.6657265429324792E-2</v>
      </c>
      <c r="L103" s="1">
        <f ca="1"/>
        <v>11940861.798233284</v>
      </c>
      <c r="N103">
        <f ca="1"/>
        <v>92887.356998645424</v>
      </c>
    </row>
    <row r="104" spans="7:14" x14ac:dyDescent="0.3">
      <c r="G104">
        <v>100</v>
      </c>
      <c r="H104" s="2" cm="1">
        <f t="array" aca="1" ref="H104:I1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4" s="3">
        <f ca="1"/>
        <v>5.2927009584180909E-2</v>
      </c>
      <c r="L104" s="1">
        <f ca="1"/>
        <v>1876455.3343435328</v>
      </c>
      <c r="N104">
        <f ca="1"/>
        <v>24307238.743892334</v>
      </c>
    </row>
    <row r="105" spans="7:14" x14ac:dyDescent="0.3">
      <c r="G105">
        <v>101</v>
      </c>
      <c r="H105" s="2" cm="1">
        <f t="array" aca="1" ref="H105:I1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5" s="3">
        <f ca="1"/>
        <v>4.1954763826450622E-2</v>
      </c>
      <c r="L105" s="1">
        <f ca="1"/>
        <v>478403.3196838962</v>
      </c>
      <c r="N105">
        <f ca="1"/>
        <v>1190028.3624787321</v>
      </c>
    </row>
    <row r="106" spans="7:14" x14ac:dyDescent="0.3">
      <c r="G106">
        <v>102</v>
      </c>
      <c r="H106" s="2" cm="1">
        <f t="array" aca="1" ref="H106:I1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4072504.9183122413</v>
      </c>
      <c r="I106" s="3">
        <f ca="1"/>
        <v>6.5177223086664918E-2</v>
      </c>
      <c r="L106" s="1">
        <f ca="1"/>
        <v>4608541.2454541661</v>
      </c>
      <c r="N106">
        <f ca="1"/>
        <v>10026.246225721959</v>
      </c>
    </row>
    <row r="107" spans="7:14" x14ac:dyDescent="0.3">
      <c r="G107">
        <v>103</v>
      </c>
      <c r="H107" s="2" cm="1">
        <f t="array" aca="1" ref="H107:I1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19173996.916782983</v>
      </c>
      <c r="I107" s="3">
        <f ca="1"/>
        <v>9.0169585535513047E-2</v>
      </c>
      <c r="L107" s="1">
        <f ca="1"/>
        <v>2416913.9249615441</v>
      </c>
      <c r="N107">
        <f ca="1"/>
        <v>0</v>
      </c>
    </row>
    <row r="108" spans="7:14" x14ac:dyDescent="0.3">
      <c r="G108">
        <v>104</v>
      </c>
      <c r="H108" s="2" cm="1">
        <f t="array" aca="1" ref="H108:I1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22333179.099439576</v>
      </c>
      <c r="I108" s="3">
        <f ca="1"/>
        <v>9.246224243405031E-2</v>
      </c>
      <c r="L108" s="1">
        <f ca="1"/>
        <v>0</v>
      </c>
      <c r="N108">
        <f ca="1"/>
        <v>7460022.534108676</v>
      </c>
    </row>
    <row r="109" spans="7:14" x14ac:dyDescent="0.3">
      <c r="G109">
        <v>105</v>
      </c>
      <c r="H109" s="2" cm="1">
        <f t="array" aca="1" ref="H109:I1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8682103.2573946454</v>
      </c>
      <c r="I109" s="3">
        <f ca="1"/>
        <v>6.9574361078493768E-2</v>
      </c>
      <c r="L109" s="1">
        <f ca="1"/>
        <v>20168778.311218157</v>
      </c>
      <c r="N109">
        <f ca="1"/>
        <v>5130726.4841301795</v>
      </c>
    </row>
    <row r="110" spans="7:14" x14ac:dyDescent="0.3">
      <c r="G110">
        <v>106</v>
      </c>
      <c r="H110" s="2" cm="1">
        <f t="array" aca="1" ref="H110:I1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3136559.0690294094</v>
      </c>
      <c r="I110" s="3">
        <f ca="1"/>
        <v>5.1949285120527031E-2</v>
      </c>
      <c r="L110" s="1">
        <f ca="1"/>
        <v>843861.52850575419</v>
      </c>
      <c r="N110">
        <f ca="1"/>
        <v>1542142.1365390916</v>
      </c>
    </row>
    <row r="111" spans="7:14" x14ac:dyDescent="0.3">
      <c r="G111">
        <v>107</v>
      </c>
      <c r="H111" s="2" cm="1">
        <f t="array" aca="1" ref="H111:I1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2684358.5597925871</v>
      </c>
      <c r="I111" s="3">
        <f ca="1"/>
        <v>5.5933874411854281E-2</v>
      </c>
      <c r="L111" s="1">
        <f ca="1"/>
        <v>0</v>
      </c>
      <c r="N111">
        <f ca="1"/>
        <v>2459344.1651803269</v>
      </c>
    </row>
    <row r="112" spans="7:14" x14ac:dyDescent="0.3">
      <c r="G112">
        <v>108</v>
      </c>
      <c r="H112" s="2" cm="1">
        <f t="array" aca="1" ref="H112:I1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19871207.194556475</v>
      </c>
      <c r="I112" s="3">
        <f ca="1"/>
        <v>8.8842492750613608E-2</v>
      </c>
      <c r="L112" s="1">
        <f ca="1"/>
        <v>0</v>
      </c>
      <c r="N112">
        <f ca="1"/>
        <v>3916055.6463965527</v>
      </c>
    </row>
    <row r="113" spans="7:14" x14ac:dyDescent="0.3">
      <c r="G113">
        <v>109</v>
      </c>
      <c r="H113" s="2" cm="1">
        <f t="array" aca="1" ref="H113:I1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830323.53594477416</v>
      </c>
      <c r="I113" s="3">
        <f ca="1"/>
        <v>3.5016230804004206E-2</v>
      </c>
      <c r="L113" s="1">
        <f ca="1"/>
        <v>0</v>
      </c>
      <c r="N113">
        <f ca="1"/>
        <v>5846582.9040889936</v>
      </c>
    </row>
    <row r="114" spans="7:14" x14ac:dyDescent="0.3">
      <c r="G114">
        <v>110</v>
      </c>
      <c r="H114" s="2" cm="1">
        <f t="array" aca="1" ref="H114:I1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14" s="3">
        <f ca="1"/>
        <v>2.2529609089412712E-2</v>
      </c>
      <c r="L114" s="1">
        <f ca="1"/>
        <v>6724086.6715250909</v>
      </c>
      <c r="N114">
        <f ca="1"/>
        <v>670534.02641937637</v>
      </c>
    </row>
    <row r="115" spans="7:14" x14ac:dyDescent="0.3">
      <c r="G115">
        <v>111</v>
      </c>
      <c r="H115" s="2" cm="1">
        <f t="array" aca="1" ref="H115:I1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128182.76548837029</v>
      </c>
      <c r="I115" s="3">
        <f ca="1"/>
        <v>3.3571803347609439E-2</v>
      </c>
      <c r="L115" s="1">
        <f ca="1"/>
        <v>4087074.3895502025</v>
      </c>
      <c r="N115">
        <f ca="1"/>
        <v>6349708.1451064674</v>
      </c>
    </row>
    <row r="116" spans="7:14" x14ac:dyDescent="0.3">
      <c r="G116">
        <v>112</v>
      </c>
      <c r="H116" s="2" cm="1">
        <f t="array" aca="1" ref="H116:I1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13526172.403934747</v>
      </c>
      <c r="I116" s="3">
        <f ca="1"/>
        <v>7.7057884234839086E-2</v>
      </c>
      <c r="L116" s="1">
        <f ca="1"/>
        <v>25799234.290909544</v>
      </c>
      <c r="N116">
        <f ca="1"/>
        <v>10016878.587455809</v>
      </c>
    </row>
    <row r="117" spans="7:14" x14ac:dyDescent="0.3">
      <c r="G117">
        <v>113</v>
      </c>
      <c r="H117" s="2" cm="1">
        <f t="array" aca="1" ref="H117:I1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5683031.1720662154</v>
      </c>
      <c r="I117" s="3">
        <f ca="1"/>
        <v>6.8221757179590309E-2</v>
      </c>
      <c r="L117" s="1">
        <f ca="1"/>
        <v>0</v>
      </c>
      <c r="N117">
        <f ca="1"/>
        <v>0</v>
      </c>
    </row>
    <row r="118" spans="7:14" x14ac:dyDescent="0.3">
      <c r="G118">
        <v>114</v>
      </c>
      <c r="H118" s="2" cm="1">
        <f t="array" aca="1" ref="H118:I1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9256685.6003461108</v>
      </c>
      <c r="I118" s="3">
        <f ca="1"/>
        <v>7.3523554053930379E-2</v>
      </c>
      <c r="L118" s="1">
        <f ca="1"/>
        <v>0</v>
      </c>
      <c r="N118">
        <f ca="1"/>
        <v>0</v>
      </c>
    </row>
    <row r="119" spans="7:14" x14ac:dyDescent="0.3">
      <c r="G119">
        <v>115</v>
      </c>
      <c r="H119" s="2" cm="1">
        <f t="array" aca="1" ref="H119:I1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19" s="3">
        <f ca="1"/>
        <v>4.322674427516679E-2</v>
      </c>
      <c r="L119" s="1">
        <f ca="1"/>
        <v>4123597.8387426054</v>
      </c>
      <c r="N119">
        <f ca="1"/>
        <v>2204045.8506889823</v>
      </c>
    </row>
    <row r="120" spans="7:14" x14ac:dyDescent="0.3">
      <c r="G120">
        <v>116</v>
      </c>
      <c r="H120" s="2" cm="1">
        <f t="array" aca="1" ref="H120:I1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1973721.9877891126</v>
      </c>
      <c r="I120" s="3">
        <f ca="1"/>
        <v>4.8174392975050953E-2</v>
      </c>
      <c r="L120" s="1">
        <f ca="1"/>
        <v>0</v>
      </c>
      <c r="N120">
        <f ca="1"/>
        <v>11320822.651399039</v>
      </c>
    </row>
    <row r="121" spans="7:14" x14ac:dyDescent="0.3">
      <c r="G121">
        <v>117</v>
      </c>
      <c r="H121" s="2" cm="1">
        <f t="array" aca="1" ref="H121:I1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4305166.498086201</v>
      </c>
      <c r="I121" s="3">
        <f ca="1"/>
        <v>5.8310961103307454E-2</v>
      </c>
      <c r="L121" s="1">
        <f ca="1"/>
        <v>3741894.524265585</v>
      </c>
      <c r="N121">
        <f ca="1"/>
        <v>3660715.6348141748</v>
      </c>
    </row>
    <row r="122" spans="7:14" x14ac:dyDescent="0.3">
      <c r="G122">
        <v>118</v>
      </c>
      <c r="H122" s="2" cm="1">
        <f t="array" aca="1" ref="H122:I1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10873106.492621809</v>
      </c>
      <c r="I122" s="3">
        <f ca="1"/>
        <v>7.5051103619511547E-2</v>
      </c>
      <c r="L122" s="1">
        <f ca="1"/>
        <v>1978207.92589375</v>
      </c>
      <c r="N122">
        <f ca="1"/>
        <v>13103602.452945303</v>
      </c>
    </row>
    <row r="123" spans="7:14" x14ac:dyDescent="0.3">
      <c r="G123">
        <v>119</v>
      </c>
      <c r="H123" s="2" cm="1">
        <f t="array" aca="1" ref="H123:I1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23" s="3">
        <f ca="1"/>
        <v>3.3394249256625166E-2</v>
      </c>
      <c r="L123" s="1">
        <f ca="1"/>
        <v>0</v>
      </c>
      <c r="N123">
        <f ca="1"/>
        <v>2334794.379857094</v>
      </c>
    </row>
    <row r="124" spans="7:14" x14ac:dyDescent="0.3">
      <c r="G124">
        <v>120</v>
      </c>
      <c r="H124" s="2" cm="1">
        <f t="array" aca="1" ref="H124:I1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24" s="3">
        <f ca="1"/>
        <v>1.7461114103252979E-2</v>
      </c>
      <c r="L124" s="1">
        <f ca="1"/>
        <v>13406308.587543346</v>
      </c>
      <c r="N124">
        <f ca="1"/>
        <v>0</v>
      </c>
    </row>
    <row r="125" spans="7:14" x14ac:dyDescent="0.3">
      <c r="G125">
        <v>121</v>
      </c>
      <c r="H125" s="2" cm="1">
        <f t="array" aca="1" ref="H125:I1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25" s="3">
        <f ca="1"/>
        <v>5.6941782151338403E-2</v>
      </c>
      <c r="L125" s="1">
        <f ca="1"/>
        <v>7371851.8303727098</v>
      </c>
      <c r="N125">
        <f ca="1"/>
        <v>0</v>
      </c>
    </row>
    <row r="126" spans="7:14" x14ac:dyDescent="0.3">
      <c r="G126">
        <v>122</v>
      </c>
      <c r="H126" s="2" cm="1">
        <f t="array" aca="1" ref="H126:I1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13416175.556758795</v>
      </c>
      <c r="I126" s="3">
        <f ca="1"/>
        <v>8.490821210101139E-2</v>
      </c>
      <c r="L126" s="1">
        <f ca="1"/>
        <v>0</v>
      </c>
      <c r="N126">
        <f ca="1"/>
        <v>1672289.1541123847</v>
      </c>
    </row>
    <row r="127" spans="7:14" x14ac:dyDescent="0.3">
      <c r="G127">
        <v>123</v>
      </c>
      <c r="H127" s="2" cm="1">
        <f t="array" aca="1" ref="H127:I1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3416664.1083436916</v>
      </c>
      <c r="I127" s="3">
        <f ca="1"/>
        <v>7.4654066822536447E-2</v>
      </c>
      <c r="L127" s="1">
        <f ca="1"/>
        <v>3421441.8473863183</v>
      </c>
      <c r="N127">
        <f ca="1"/>
        <v>15210825.681145091</v>
      </c>
    </row>
    <row r="128" spans="7:14" x14ac:dyDescent="0.3">
      <c r="G128">
        <v>124</v>
      </c>
      <c r="H128" s="2" cm="1">
        <f t="array" aca="1" ref="H128:I1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28" s="3">
        <f ca="1"/>
        <v>5.2090694223029886E-2</v>
      </c>
      <c r="L128" s="1">
        <f ca="1"/>
        <v>0</v>
      </c>
      <c r="N128">
        <f ca="1"/>
        <v>1585466.6699419341</v>
      </c>
    </row>
    <row r="129" spans="7:14" x14ac:dyDescent="0.3">
      <c r="G129">
        <v>125</v>
      </c>
      <c r="H129" s="2" cm="1">
        <f t="array" aca="1" ref="H129:I1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13388913.002800535</v>
      </c>
      <c r="I129" s="3">
        <f ca="1"/>
        <v>8.4834926445778974E-2</v>
      </c>
      <c r="L129" s="1">
        <f ca="1"/>
        <v>5592499.1109930985</v>
      </c>
      <c r="N129">
        <f ca="1"/>
        <v>13849879.45556695</v>
      </c>
    </row>
    <row r="130" spans="7:14" x14ac:dyDescent="0.3">
      <c r="G130">
        <v>126</v>
      </c>
      <c r="H130" s="2" cm="1">
        <f t="array" aca="1" ref="H130:I1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1346338.3256745152</v>
      </c>
      <c r="I130" s="3">
        <f ca="1"/>
        <v>5.2084475351696823E-2</v>
      </c>
      <c r="L130" s="1">
        <f ca="1"/>
        <v>10523934.314517476</v>
      </c>
      <c r="N130">
        <f ca="1"/>
        <v>6426228.905409609</v>
      </c>
    </row>
    <row r="131" spans="7:14" x14ac:dyDescent="0.3">
      <c r="G131">
        <v>127</v>
      </c>
      <c r="H131" s="2" cm="1">
        <f t="array" aca="1" ref="H131:I1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5469264.5495743845</v>
      </c>
      <c r="I131" s="3">
        <f ca="1"/>
        <v>6.6353556959792739E-2</v>
      </c>
      <c r="L131" s="1">
        <f ca="1"/>
        <v>0</v>
      </c>
      <c r="N131">
        <f ca="1"/>
        <v>17932136.486459754</v>
      </c>
    </row>
    <row r="132" spans="7:14" x14ac:dyDescent="0.3">
      <c r="G132">
        <v>128</v>
      </c>
      <c r="H132" s="2" cm="1">
        <f t="array" aca="1" ref="H132:I1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5395679.8679484567</v>
      </c>
      <c r="I132" s="3">
        <f ca="1"/>
        <v>6.2199762931726243E-2</v>
      </c>
      <c r="L132" s="1">
        <f ca="1"/>
        <v>6434790.1630775817</v>
      </c>
      <c r="N132">
        <f ca="1"/>
        <v>0</v>
      </c>
    </row>
    <row r="133" spans="7:14" x14ac:dyDescent="0.3">
      <c r="G133">
        <v>129</v>
      </c>
      <c r="H133" s="2" cm="1">
        <f t="array" aca="1" ref="H133:I1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33" s="3">
        <f ca="1"/>
        <v>6.2059236111294512E-2</v>
      </c>
      <c r="L133" s="1">
        <f ca="1"/>
        <v>11049973.924873127</v>
      </c>
      <c r="N133">
        <f ca="1"/>
        <v>0</v>
      </c>
    </row>
    <row r="134" spans="7:14" x14ac:dyDescent="0.3">
      <c r="G134">
        <v>130</v>
      </c>
      <c r="H134" s="2" cm="1">
        <f t="array" aca="1" ref="H134:I1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34" s="3">
        <f ca="1"/>
        <v>-1.1113738133704584E-2</v>
      </c>
      <c r="L134" s="1">
        <f ca="1"/>
        <v>7214873.6873280462</v>
      </c>
      <c r="N134">
        <f ca="1"/>
        <v>509051.42284412106</v>
      </c>
    </row>
    <row r="135" spans="7:14" x14ac:dyDescent="0.3">
      <c r="G135">
        <v>131</v>
      </c>
      <c r="H135" s="2" cm="1">
        <f t="array" aca="1" ref="H135:I1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4396292.442151363</v>
      </c>
      <c r="I135" s="3">
        <f ca="1"/>
        <v>5.8128331569228843E-2</v>
      </c>
      <c r="L135" s="1">
        <f ca="1"/>
        <v>5835622.3976507252</v>
      </c>
      <c r="N135">
        <f ca="1"/>
        <v>1235526.6846507827</v>
      </c>
    </row>
    <row r="136" spans="7:14" x14ac:dyDescent="0.3">
      <c r="G136">
        <v>132</v>
      </c>
      <c r="H136" s="2" cm="1">
        <f t="array" aca="1" ref="H136:I1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1814179.8402646757</v>
      </c>
      <c r="I136" s="3">
        <f ca="1"/>
        <v>4.8996831016970006E-2</v>
      </c>
      <c r="L136" s="1">
        <f ca="1"/>
        <v>635674.23894974496</v>
      </c>
      <c r="N136">
        <f ca="1"/>
        <v>0</v>
      </c>
    </row>
    <row r="137" spans="7:14" x14ac:dyDescent="0.3">
      <c r="G137">
        <v>133</v>
      </c>
      <c r="H137" s="2" cm="1">
        <f t="array" aca="1" ref="H137:I1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7149679.4370820988</v>
      </c>
      <c r="I137" s="3">
        <f ca="1"/>
        <v>6.2777684005412074E-2</v>
      </c>
      <c r="L137" s="1">
        <f ca="1"/>
        <v>0</v>
      </c>
      <c r="N137">
        <f ca="1"/>
        <v>12869791.580776129</v>
      </c>
    </row>
    <row r="138" spans="7:14" x14ac:dyDescent="0.3">
      <c r="G138">
        <v>134</v>
      </c>
      <c r="H138" s="2" cm="1">
        <f t="array" aca="1" ref="H138:I1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38" s="3">
        <f ca="1"/>
        <v>4.1864431671129597E-2</v>
      </c>
      <c r="L138" s="1">
        <f ca="1"/>
        <v>242856.06233347126</v>
      </c>
      <c r="N138">
        <f ca="1"/>
        <v>11858348.137655474</v>
      </c>
    </row>
    <row r="139" spans="7:14" x14ac:dyDescent="0.3">
      <c r="G139">
        <v>135</v>
      </c>
      <c r="H139" s="2" cm="1">
        <f t="array" aca="1" ref="H139:I1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5489753.8562097754</v>
      </c>
      <c r="I139" s="3">
        <f ca="1"/>
        <v>5.7846631688996022E-2</v>
      </c>
      <c r="L139" s="1">
        <f ca="1"/>
        <v>33545.52406670824</v>
      </c>
      <c r="N139">
        <f ca="1"/>
        <v>1166774.5187811824</v>
      </c>
    </row>
    <row r="140" spans="7:14" x14ac:dyDescent="0.3">
      <c r="G140">
        <v>136</v>
      </c>
      <c r="H140" s="2" cm="1">
        <f t="array" aca="1" ref="H140:I1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25363020.267797954</v>
      </c>
      <c r="I140" s="3">
        <f ca="1"/>
        <v>9.7708594959867986E-2</v>
      </c>
      <c r="L140" s="1">
        <f ca="1"/>
        <v>3017831.6251617912</v>
      </c>
      <c r="N140">
        <f ca="1"/>
        <v>10409313.152954038</v>
      </c>
    </row>
    <row r="141" spans="7:14" x14ac:dyDescent="0.3">
      <c r="G141">
        <v>137</v>
      </c>
      <c r="H141" s="2" cm="1">
        <f t="array" aca="1" ref="H141:I1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41" s="3">
        <f ca="1"/>
        <v>2.0516754245491285E-2</v>
      </c>
      <c r="L141" s="1">
        <f ca="1"/>
        <v>0</v>
      </c>
      <c r="N141">
        <f ca="1"/>
        <v>17079791.454153676</v>
      </c>
    </row>
    <row r="142" spans="7:14" x14ac:dyDescent="0.3">
      <c r="G142">
        <v>138</v>
      </c>
      <c r="H142" s="2" cm="1">
        <f t="array" aca="1" ref="H142:I1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17944444.28739642</v>
      </c>
      <c r="I142" s="3">
        <f ca="1"/>
        <v>8.9659769574401957E-2</v>
      </c>
      <c r="L142" s="1">
        <f ca="1"/>
        <v>9651238.429468751</v>
      </c>
      <c r="N142">
        <f ca="1"/>
        <v>0</v>
      </c>
    </row>
    <row r="143" spans="7:14" x14ac:dyDescent="0.3">
      <c r="G143">
        <v>139</v>
      </c>
      <c r="H143" s="2" cm="1">
        <f t="array" aca="1" ref="H143:I1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14810414.72791836</v>
      </c>
      <c r="I143" s="3">
        <f ca="1"/>
        <v>8.1776695036959529E-2</v>
      </c>
      <c r="L143" s="1">
        <f ca="1"/>
        <v>954308.84530311869</v>
      </c>
      <c r="N143">
        <f ca="1"/>
        <v>3879741.736106413</v>
      </c>
    </row>
    <row r="144" spans="7:14" x14ac:dyDescent="0.3">
      <c r="G144">
        <v>140</v>
      </c>
      <c r="H144" s="2" cm="1">
        <f t="array" aca="1" ref="H144:I1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9066726.9284072667</v>
      </c>
      <c r="I144" s="3">
        <f ca="1"/>
        <v>8.4843733724016893E-2</v>
      </c>
      <c r="L144" s="1">
        <f ca="1"/>
        <v>0</v>
      </c>
      <c r="N144">
        <f ca="1"/>
        <v>0</v>
      </c>
    </row>
    <row r="145" spans="7:14" x14ac:dyDescent="0.3">
      <c r="G145">
        <v>141</v>
      </c>
      <c r="H145" s="2" cm="1">
        <f t="array" aca="1" ref="H145:I1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10417901.368933896</v>
      </c>
      <c r="I145" s="3">
        <f ca="1"/>
        <v>7.5302483895031053E-2</v>
      </c>
      <c r="L145" s="1">
        <f ca="1"/>
        <v>1903249.5814245306</v>
      </c>
      <c r="N145">
        <f ca="1"/>
        <v>1281237.2072999668</v>
      </c>
    </row>
    <row r="146" spans="7:14" x14ac:dyDescent="0.3">
      <c r="G146">
        <v>142</v>
      </c>
      <c r="H146" s="2" cm="1">
        <f t="array" aca="1" ref="H146:I1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4791744.6839655116</v>
      </c>
      <c r="I146" s="3">
        <f ca="1"/>
        <v>6.216937399329573E-2</v>
      </c>
      <c r="L146" s="1">
        <f ca="1"/>
        <v>0</v>
      </c>
      <c r="N146">
        <f ca="1"/>
        <v>8235782.285319142</v>
      </c>
    </row>
    <row r="147" spans="7:14" x14ac:dyDescent="0.3">
      <c r="G147">
        <v>143</v>
      </c>
      <c r="H147" s="2" cm="1">
        <f t="array" aca="1" ref="H147:I1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4038573.6237559207</v>
      </c>
      <c r="I147" s="3">
        <f ca="1"/>
        <v>7.2423365885883287E-2</v>
      </c>
      <c r="L147" s="1">
        <f ca="1"/>
        <v>9002333.6045945361</v>
      </c>
      <c r="N147">
        <f ca="1"/>
        <v>3732854.4437652226</v>
      </c>
    </row>
    <row r="148" spans="7:14" x14ac:dyDescent="0.3">
      <c r="G148">
        <v>144</v>
      </c>
      <c r="H148" s="2" cm="1">
        <f t="array" aca="1" ref="H148:I1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4100452.6787631912</v>
      </c>
      <c r="I148" s="3">
        <f ca="1"/>
        <v>5.5212839408319406E-2</v>
      </c>
      <c r="L148" s="1">
        <f ca="1"/>
        <v>3493691.6782944775</v>
      </c>
      <c r="N148">
        <f ca="1"/>
        <v>7153497.959340049</v>
      </c>
    </row>
    <row r="149" spans="7:14" x14ac:dyDescent="0.3">
      <c r="G149">
        <v>145</v>
      </c>
      <c r="H149" s="2" cm="1">
        <f t="array" aca="1" ref="H149:I1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4810356.8697543824</v>
      </c>
      <c r="I149" s="3">
        <f ca="1"/>
        <v>6.7030003663135856E-2</v>
      </c>
      <c r="L149" s="1">
        <f ca="1"/>
        <v>0</v>
      </c>
      <c r="N149">
        <f ca="1"/>
        <v>7463100.9357506018</v>
      </c>
    </row>
    <row r="150" spans="7:14" x14ac:dyDescent="0.3">
      <c r="G150">
        <v>146</v>
      </c>
      <c r="H150" s="2" cm="1">
        <f t="array" aca="1" ref="H150:I1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5383997.1537317755</v>
      </c>
      <c r="I150" s="3">
        <f ca="1"/>
        <v>7.5029758434233165E-2</v>
      </c>
      <c r="L150" s="1">
        <f ca="1"/>
        <v>0</v>
      </c>
      <c r="N150">
        <f ca="1"/>
        <v>0</v>
      </c>
    </row>
    <row r="151" spans="7:14" x14ac:dyDescent="0.3">
      <c r="G151">
        <v>147</v>
      </c>
      <c r="H151" s="2" cm="1">
        <f t="array" aca="1" ref="H151:I1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1950947.0933318464</v>
      </c>
      <c r="I151" s="3">
        <f ca="1"/>
        <v>5.06182523335304E-2</v>
      </c>
      <c r="L151" s="1">
        <f ca="1"/>
        <v>0</v>
      </c>
      <c r="N151">
        <f ca="1"/>
        <v>1226053.3182763013</v>
      </c>
    </row>
    <row r="152" spans="7:14" x14ac:dyDescent="0.3">
      <c r="G152">
        <v>148</v>
      </c>
      <c r="H152" s="2" cm="1">
        <f t="array" aca="1" ref="H152:I1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8937198.7050593644</v>
      </c>
      <c r="I152" s="3">
        <f ca="1"/>
        <v>7.3134815493528169E-2</v>
      </c>
      <c r="L152" s="1">
        <f ca="1"/>
        <v>0</v>
      </c>
      <c r="N152">
        <f ca="1"/>
        <v>0</v>
      </c>
    </row>
    <row r="153" spans="7:14" x14ac:dyDescent="0.3">
      <c r="G153">
        <v>149</v>
      </c>
      <c r="H153" s="2" cm="1">
        <f t="array" aca="1" ref="H153:I1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53" s="3">
        <f ca="1"/>
        <v>5.7192091818129967E-2</v>
      </c>
      <c r="L153" s="1">
        <f ca="1"/>
        <v>0</v>
      </c>
      <c r="N153">
        <f ca="1"/>
        <v>3128927.2213605396</v>
      </c>
    </row>
    <row r="154" spans="7:14" x14ac:dyDescent="0.3">
      <c r="G154">
        <v>150</v>
      </c>
      <c r="H154" s="2" cm="1">
        <f t="array" aca="1" ref="H154:I1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54" s="3">
        <f ca="1"/>
        <v>6.1450147892194593E-2</v>
      </c>
      <c r="L154" s="1">
        <f ca="1"/>
        <v>10160090.681820039</v>
      </c>
      <c r="N154">
        <f ca="1"/>
        <v>3796948.8440211224</v>
      </c>
    </row>
    <row r="155" spans="7:14" x14ac:dyDescent="0.3">
      <c r="G155">
        <v>151</v>
      </c>
      <c r="H155" s="2" cm="1">
        <f t="array" aca="1" ref="H155:I1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55" s="3">
        <f ca="1"/>
        <v>6.6820265866166045E-2</v>
      </c>
      <c r="L155" s="1">
        <f ca="1"/>
        <v>12434768.146335993</v>
      </c>
      <c r="N155">
        <f ca="1"/>
        <v>370162.937347973</v>
      </c>
    </row>
    <row r="156" spans="7:14" x14ac:dyDescent="0.3">
      <c r="G156">
        <v>152</v>
      </c>
      <c r="H156" s="2" cm="1">
        <f t="array" aca="1" ref="H156:I1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6981345.2717529507</v>
      </c>
      <c r="I156" s="3">
        <f ca="1"/>
        <v>6.418647205758328E-2</v>
      </c>
      <c r="L156" s="1">
        <f ca="1"/>
        <v>0</v>
      </c>
      <c r="N156">
        <f ca="1"/>
        <v>6736400.1171838017</v>
      </c>
    </row>
    <row r="157" spans="7:14" x14ac:dyDescent="0.3">
      <c r="G157">
        <v>153</v>
      </c>
      <c r="H157" s="2" cm="1">
        <f t="array" aca="1" ref="H157:I1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5127089.6475659795</v>
      </c>
      <c r="I157" s="3">
        <f ca="1"/>
        <v>6.0260031503958533E-2</v>
      </c>
      <c r="L157" s="1">
        <f ca="1"/>
        <v>0</v>
      </c>
      <c r="N157">
        <f ca="1"/>
        <v>0</v>
      </c>
    </row>
    <row r="158" spans="7:14" x14ac:dyDescent="0.3">
      <c r="G158">
        <v>154</v>
      </c>
      <c r="H158" s="2" cm="1">
        <f t="array" aca="1" ref="H158:I1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9140712.7965951879</v>
      </c>
      <c r="I158" s="3">
        <f ca="1"/>
        <v>7.3645215774898617E-2</v>
      </c>
      <c r="L158" s="1">
        <f ca="1"/>
        <v>9587949.381268166</v>
      </c>
      <c r="N158">
        <f ca="1"/>
        <v>5472150.9224744774</v>
      </c>
    </row>
    <row r="159" spans="7:14" x14ac:dyDescent="0.3">
      <c r="G159">
        <v>155</v>
      </c>
      <c r="H159" s="2" cm="1">
        <f t="array" aca="1" ref="H159:I1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59" s="3">
        <f ca="1"/>
        <v>4.7637242031118396E-2</v>
      </c>
      <c r="L159" s="1">
        <f ca="1"/>
        <v>33374376.564598061</v>
      </c>
      <c r="N159">
        <f ca="1"/>
        <v>7221917.9189744135</v>
      </c>
    </row>
    <row r="160" spans="7:14" x14ac:dyDescent="0.3">
      <c r="G160">
        <v>156</v>
      </c>
      <c r="H160" s="2" cm="1">
        <f t="array" aca="1" ref="H160:I1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597446.63678353035</v>
      </c>
      <c r="I160" s="3">
        <f ca="1"/>
        <v>5.1095092568265346E-2</v>
      </c>
      <c r="L160" s="1">
        <f ca="1"/>
        <v>699471.82554626069</v>
      </c>
      <c r="N160">
        <f ca="1"/>
        <v>0</v>
      </c>
    </row>
    <row r="161" spans="7:14" x14ac:dyDescent="0.3">
      <c r="G161">
        <v>157</v>
      </c>
      <c r="H161" s="2" cm="1">
        <f t="array" aca="1" ref="H161:I1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16368285.866621107</v>
      </c>
      <c r="I161" s="3">
        <f ca="1"/>
        <v>8.2252085888271403E-2</v>
      </c>
      <c r="L161" s="1">
        <f ca="1"/>
        <v>0</v>
      </c>
      <c r="N161">
        <f ca="1"/>
        <v>24146730.81443619</v>
      </c>
    </row>
    <row r="162" spans="7:14" x14ac:dyDescent="0.3">
      <c r="G162">
        <v>158</v>
      </c>
      <c r="H162" s="2" cm="1">
        <f t="array" aca="1" ref="H162:I1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62" s="3">
        <f ca="1"/>
        <v>1.0600049028228434E-2</v>
      </c>
      <c r="L162" s="1">
        <f ca="1"/>
        <v>5656062.2510948423</v>
      </c>
      <c r="N162">
        <f ca="1"/>
        <v>0</v>
      </c>
    </row>
    <row r="163" spans="7:14" x14ac:dyDescent="0.3">
      <c r="G163">
        <v>159</v>
      </c>
      <c r="H163" s="2" cm="1">
        <f t="array" aca="1" ref="H163:I1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877729.7347733255</v>
      </c>
      <c r="I163" s="3">
        <f ca="1"/>
        <v>4.6870832776702252E-2</v>
      </c>
      <c r="L163" s="1">
        <f ca="1"/>
        <v>54944448.942559779</v>
      </c>
      <c r="N163">
        <f ca="1"/>
        <v>0</v>
      </c>
    </row>
    <row r="164" spans="7:14" x14ac:dyDescent="0.3">
      <c r="G164">
        <v>160</v>
      </c>
      <c r="H164" s="2" cm="1">
        <f t="array" aca="1" ref="H164:I1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10350585.996006189</v>
      </c>
      <c r="I164" s="3">
        <f ca="1"/>
        <v>7.9830046430598836E-2</v>
      </c>
      <c r="L164" s="1">
        <f ca="1"/>
        <v>579010.95824447938</v>
      </c>
      <c r="N164">
        <f ca="1"/>
        <v>2938525.4792387476</v>
      </c>
    </row>
    <row r="165" spans="7:14" x14ac:dyDescent="0.3">
      <c r="G165">
        <v>161</v>
      </c>
      <c r="H165" s="2" cm="1">
        <f t="array" aca="1" ref="H165:I1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13547030.317507843</v>
      </c>
      <c r="I165" s="3">
        <f ca="1"/>
        <v>8.3904388233572061E-2</v>
      </c>
      <c r="L165" s="1">
        <f ca="1"/>
        <v>1809965.0401071045</v>
      </c>
      <c r="N165">
        <f ca="1"/>
        <v>0</v>
      </c>
    </row>
    <row r="166" spans="7:14" x14ac:dyDescent="0.3">
      <c r="G166">
        <v>162</v>
      </c>
      <c r="H166" s="2" cm="1">
        <f t="array" aca="1" ref="H166:I1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66" s="3">
        <f ca="1"/>
        <v>4.1670069524629781E-2</v>
      </c>
      <c r="L166" s="1">
        <f ca="1"/>
        <v>22718778.733154058</v>
      </c>
      <c r="N166">
        <f ca="1"/>
        <v>2508054.0418262789</v>
      </c>
    </row>
    <row r="167" spans="7:14" x14ac:dyDescent="0.3">
      <c r="G167">
        <v>163</v>
      </c>
      <c r="H167" s="2" cm="1">
        <f t="array" aca="1" ref="H167:I1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67" s="3">
        <f ca="1"/>
        <v>1.1651808904493782E-2</v>
      </c>
      <c r="L167" s="1">
        <f ca="1"/>
        <v>5412400.1015348751</v>
      </c>
      <c r="N167">
        <f ca="1"/>
        <v>0</v>
      </c>
    </row>
    <row r="168" spans="7:14" x14ac:dyDescent="0.3">
      <c r="G168">
        <v>164</v>
      </c>
      <c r="H168" s="2" cm="1">
        <f t="array" aca="1" ref="H168:I1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14816056.566143004</v>
      </c>
      <c r="I168" s="3">
        <f ca="1"/>
        <v>7.8467459287174093E-2</v>
      </c>
      <c r="L168" s="1">
        <f ca="1"/>
        <v>2090518.0218095127</v>
      </c>
      <c r="N168">
        <f ca="1"/>
        <v>1770681.6951848553</v>
      </c>
    </row>
    <row r="169" spans="7:14" x14ac:dyDescent="0.3">
      <c r="G169">
        <v>165</v>
      </c>
      <c r="H169" s="2" cm="1">
        <f t="array" aca="1" ref="H169:I1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257145.21951860466</v>
      </c>
      <c r="I169" s="3">
        <f ca="1"/>
        <v>3.5041812178073062E-2</v>
      </c>
      <c r="L169" s="1">
        <f ca="1"/>
        <v>4414481.5606547128</v>
      </c>
      <c r="N169">
        <f ca="1"/>
        <v>4774956.9923680462</v>
      </c>
    </row>
    <row r="170" spans="7:14" x14ac:dyDescent="0.3">
      <c r="G170">
        <v>166</v>
      </c>
      <c r="H170" s="2" cm="1">
        <f t="array" aca="1" ref="H170:I1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31676314.528445594</v>
      </c>
      <c r="I170" s="3">
        <f ca="1"/>
        <v>0.10480881634608911</v>
      </c>
      <c r="L170" s="1">
        <f ca="1"/>
        <v>1347057.8005535367</v>
      </c>
      <c r="N170">
        <f ca="1"/>
        <v>25245685.414591171</v>
      </c>
    </row>
    <row r="171" spans="7:14" x14ac:dyDescent="0.3">
      <c r="G171">
        <v>167</v>
      </c>
      <c r="H171" s="2" cm="1">
        <f t="array" aca="1" ref="H171:I1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1354430.9240560015</v>
      </c>
      <c r="I171" s="3">
        <f ca="1"/>
        <v>6.7433453230758555E-2</v>
      </c>
      <c r="L171" s="1">
        <f ca="1"/>
        <v>2829852.8419033587</v>
      </c>
      <c r="N171">
        <f ca="1"/>
        <v>3795176.8184030042</v>
      </c>
    </row>
    <row r="172" spans="7:14" x14ac:dyDescent="0.3">
      <c r="G172">
        <v>168</v>
      </c>
      <c r="H172" s="2" cm="1">
        <f t="array" aca="1" ref="H172:I1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1633120.4314972209</v>
      </c>
      <c r="I172" s="3">
        <f ca="1"/>
        <v>5.3707020939574281E-2</v>
      </c>
      <c r="L172" s="1">
        <f ca="1"/>
        <v>10637632.843856871</v>
      </c>
      <c r="N172">
        <f ca="1"/>
        <v>11256613.756375963</v>
      </c>
    </row>
    <row r="173" spans="7:14" x14ac:dyDescent="0.3">
      <c r="G173">
        <v>169</v>
      </c>
      <c r="H173" s="2" cm="1">
        <f t="array" aca="1" ref="H173:I1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20599160.63625665</v>
      </c>
      <c r="I173" s="3">
        <f ca="1"/>
        <v>8.8890542334151473E-2</v>
      </c>
      <c r="L173" s="1">
        <f ca="1"/>
        <v>44971950.34214364</v>
      </c>
      <c r="N173">
        <f ca="1"/>
        <v>380104.14924069279</v>
      </c>
    </row>
    <row r="174" spans="7:14" x14ac:dyDescent="0.3">
      <c r="G174">
        <v>170</v>
      </c>
      <c r="H174" s="2" cm="1">
        <f t="array" aca="1" ref="H174:I1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74" s="3">
        <f ca="1"/>
        <v>6.5687429016539858E-2</v>
      </c>
      <c r="L174" s="1">
        <f ca="1"/>
        <v>907088.2333445783</v>
      </c>
      <c r="N174">
        <f ca="1"/>
        <v>0</v>
      </c>
    </row>
    <row r="175" spans="7:14" x14ac:dyDescent="0.3">
      <c r="G175">
        <v>171</v>
      </c>
      <c r="H175" s="2" cm="1">
        <f t="array" aca="1" ref="H175:I1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4742290.853581341</v>
      </c>
      <c r="I175" s="3">
        <f ca="1"/>
        <v>7.6777129597856653E-2</v>
      </c>
      <c r="L175" s="1">
        <f ca="1"/>
        <v>64810032.474409096</v>
      </c>
      <c r="N175">
        <f ca="1"/>
        <v>1010429.7920805109</v>
      </c>
    </row>
    <row r="176" spans="7:14" x14ac:dyDescent="0.3">
      <c r="G176">
        <v>172</v>
      </c>
      <c r="H176" s="2" cm="1">
        <f t="array" aca="1" ref="H176:I1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4298015.3816685257</v>
      </c>
      <c r="I176" s="3">
        <f ca="1"/>
        <v>5.8526567416386108E-2</v>
      </c>
      <c r="L176" s="1">
        <f ca="1"/>
        <v>0</v>
      </c>
      <c r="N176">
        <f ca="1"/>
        <v>520218.38773883524</v>
      </c>
    </row>
    <row r="177" spans="7:14" x14ac:dyDescent="0.3">
      <c r="G177">
        <v>173</v>
      </c>
      <c r="H177" s="2" cm="1">
        <f t="array" aca="1" ref="H177:I1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7267998.0034808032</v>
      </c>
      <c r="I177" s="3">
        <f ca="1"/>
        <v>6.8012940272809186E-2</v>
      </c>
      <c r="L177" s="1">
        <f ca="1"/>
        <v>43518439.637284391</v>
      </c>
      <c r="N177">
        <f ca="1"/>
        <v>3284901.153906737</v>
      </c>
    </row>
    <row r="178" spans="7:14" x14ac:dyDescent="0.3">
      <c r="G178">
        <v>174</v>
      </c>
      <c r="H178" s="2" cm="1">
        <f t="array" aca="1" ref="H178:I1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3854641.587664681</v>
      </c>
      <c r="I178" s="3">
        <f ca="1"/>
        <v>5.7334762349986912E-2</v>
      </c>
      <c r="L178" s="1">
        <f ca="1"/>
        <v>7090233.3028614158</v>
      </c>
      <c r="N178">
        <f ca="1"/>
        <v>2186357.4220483196</v>
      </c>
    </row>
    <row r="179" spans="7:14" x14ac:dyDescent="0.3">
      <c r="G179">
        <v>175</v>
      </c>
      <c r="H179" s="2" cm="1">
        <f t="array" aca="1" ref="H179:I1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79" s="3">
        <f ca="1"/>
        <v>3.5734847026201375E-2</v>
      </c>
      <c r="L179" s="1">
        <f ca="1"/>
        <v>1893423.5470917155</v>
      </c>
      <c r="N179">
        <f ca="1"/>
        <v>10115945.408330742</v>
      </c>
    </row>
    <row r="180" spans="7:14" x14ac:dyDescent="0.3">
      <c r="G180">
        <v>176</v>
      </c>
      <c r="H180" s="2" cm="1">
        <f t="array" aca="1" ref="H180:I1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80" s="3">
        <f ca="1"/>
        <v>-5.0992903566281708E-3</v>
      </c>
      <c r="L180" s="1">
        <f ca="1"/>
        <v>7241098.4668460777</v>
      </c>
      <c r="N180">
        <f ca="1"/>
        <v>13557473.30733829</v>
      </c>
    </row>
    <row r="181" spans="7:14" x14ac:dyDescent="0.3">
      <c r="G181">
        <v>177</v>
      </c>
      <c r="H181" s="2" cm="1">
        <f t="array" aca="1" ref="H181:I1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6079146.2480436042</v>
      </c>
      <c r="I181" s="3">
        <f ca="1"/>
        <v>7.1886772255376513E-2</v>
      </c>
      <c r="L181" s="1">
        <f ca="1"/>
        <v>898638.23535236076</v>
      </c>
      <c r="N181">
        <f ca="1"/>
        <v>1746760.4128693328</v>
      </c>
    </row>
    <row r="182" spans="7:14" x14ac:dyDescent="0.3">
      <c r="G182">
        <v>178</v>
      </c>
      <c r="H182" s="2" cm="1">
        <f t="array" aca="1" ref="H182:I1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82" s="3">
        <f ca="1"/>
        <v>2.1443322410114488E-2</v>
      </c>
      <c r="L182" s="1">
        <f ca="1"/>
        <v>0</v>
      </c>
      <c r="N182">
        <f ca="1"/>
        <v>334543.47936898709</v>
      </c>
    </row>
    <row r="183" spans="7:14" x14ac:dyDescent="0.3">
      <c r="G183">
        <v>179</v>
      </c>
      <c r="H183" s="2" cm="1">
        <f t="array" aca="1" ref="H183:I1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195410.57768104013</v>
      </c>
      <c r="I183" s="3">
        <f ca="1"/>
        <v>3.3157429183543904E-2</v>
      </c>
      <c r="L183" s="1">
        <f ca="1"/>
        <v>19418024.108008407</v>
      </c>
      <c r="N183">
        <f ca="1"/>
        <v>0</v>
      </c>
    </row>
    <row r="184" spans="7:14" x14ac:dyDescent="0.3">
      <c r="G184">
        <v>180</v>
      </c>
      <c r="H184" s="2" cm="1">
        <f t="array" aca="1" ref="H184:I1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3467372.9032629505</v>
      </c>
      <c r="I184" s="3">
        <f ca="1"/>
        <v>5.2314313492375905E-2</v>
      </c>
      <c r="L184" s="1">
        <f ca="1"/>
        <v>4535908.8311338592</v>
      </c>
      <c r="N184">
        <f ca="1"/>
        <v>185499.66338810383</v>
      </c>
    </row>
    <row r="185" spans="7:14" x14ac:dyDescent="0.3">
      <c r="G185">
        <v>181</v>
      </c>
      <c r="H185" s="2" cm="1">
        <f t="array" aca="1" ref="H185:I1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3223713.9655317715</v>
      </c>
      <c r="I185" s="3">
        <f ca="1"/>
        <v>5.5697830130116519E-2</v>
      </c>
      <c r="L185" s="1">
        <f ca="1"/>
        <v>3936112.6733487216</v>
      </c>
      <c r="N185">
        <f ca="1"/>
        <v>6319663.3475135714</v>
      </c>
    </row>
    <row r="186" spans="7:14" x14ac:dyDescent="0.3">
      <c r="G186">
        <v>182</v>
      </c>
      <c r="H186" s="2" cm="1">
        <f t="array" aca="1" ref="H186:I1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86" s="3">
        <f ca="1"/>
        <v>2.9508768874375885E-2</v>
      </c>
      <c r="L186" s="1">
        <f ca="1"/>
        <v>9104817.2862465251</v>
      </c>
      <c r="N186">
        <f ca="1"/>
        <v>0</v>
      </c>
    </row>
    <row r="187" spans="7:14" x14ac:dyDescent="0.3">
      <c r="G187">
        <v>183</v>
      </c>
      <c r="H187" s="2" cm="1">
        <f t="array" aca="1" ref="H187:I1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87" s="3">
        <f ca="1"/>
        <v>6.177324156430828E-2</v>
      </c>
      <c r="L187" s="1">
        <f ca="1"/>
        <v>30002539.336188179</v>
      </c>
      <c r="N187">
        <f ca="1"/>
        <v>3141785.1086288183</v>
      </c>
    </row>
    <row r="188" spans="7:14" x14ac:dyDescent="0.3">
      <c r="G188">
        <v>184</v>
      </c>
      <c r="H188" s="2" cm="1">
        <f t="array" aca="1" ref="H188:I1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500565.7133677142</v>
      </c>
      <c r="I188" s="3">
        <f ca="1"/>
        <v>4.341715640815292E-2</v>
      </c>
      <c r="L188" s="1">
        <f ca="1"/>
        <v>0</v>
      </c>
      <c r="N188">
        <f ca="1"/>
        <v>0</v>
      </c>
    </row>
    <row r="189" spans="7:14" x14ac:dyDescent="0.3">
      <c r="G189">
        <v>185</v>
      </c>
      <c r="H189" s="2" cm="1">
        <f t="array" aca="1" ref="H189:I1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1291146.8560729634</v>
      </c>
      <c r="I189" s="3">
        <f ca="1"/>
        <v>4.171820367818415E-2</v>
      </c>
      <c r="L189" s="1">
        <f ca="1"/>
        <v>78193838.017817706</v>
      </c>
      <c r="N189">
        <f ca="1"/>
        <v>3975853.4505068818</v>
      </c>
    </row>
    <row r="190" spans="7:14" x14ac:dyDescent="0.3">
      <c r="G190">
        <v>186</v>
      </c>
      <c r="H190" s="2" cm="1">
        <f t="array" aca="1" ref="H190:I1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7910604.7152734725</v>
      </c>
      <c r="I190" s="3">
        <f ca="1"/>
        <v>7.5310805999961317E-2</v>
      </c>
      <c r="L190" s="1">
        <f ca="1"/>
        <v>3672105.5128367534</v>
      </c>
      <c r="N190">
        <f ca="1"/>
        <v>9750791.5778365061</v>
      </c>
    </row>
    <row r="191" spans="7:14" x14ac:dyDescent="0.3">
      <c r="G191">
        <v>187</v>
      </c>
      <c r="H191" s="2" cm="1">
        <f t="array" aca="1" ref="H191:I1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10408530.535164062</v>
      </c>
      <c r="I191" s="3">
        <f ca="1"/>
        <v>7.9822387480374027E-2</v>
      </c>
      <c r="L191" s="1">
        <f ca="1"/>
        <v>2186853.1129352557</v>
      </c>
      <c r="N191">
        <f ca="1"/>
        <v>0</v>
      </c>
    </row>
    <row r="192" spans="7:14" x14ac:dyDescent="0.3">
      <c r="G192">
        <v>188</v>
      </c>
      <c r="H192" s="2" cm="1">
        <f t="array" aca="1" ref="H192:I1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2544400.6045531007</v>
      </c>
      <c r="I192" s="3">
        <f ca="1"/>
        <v>4.5632239306959102E-2</v>
      </c>
      <c r="L192" s="1">
        <f ca="1"/>
        <v>0</v>
      </c>
      <c r="N192">
        <f ca="1"/>
        <v>13652678.016050518</v>
      </c>
    </row>
    <row r="193" spans="7:14" x14ac:dyDescent="0.3">
      <c r="G193">
        <v>189</v>
      </c>
      <c r="H193" s="2" cm="1">
        <f t="array" aca="1" ref="H193:I1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1374706.4474625455</v>
      </c>
      <c r="I193" s="3">
        <f ca="1"/>
        <v>5.783410514000089E-2</v>
      </c>
      <c r="L193" s="1">
        <f ca="1"/>
        <v>16782134.89376992</v>
      </c>
      <c r="N193">
        <f ca="1"/>
        <v>21703043.999441206</v>
      </c>
    </row>
    <row r="194" spans="7:14" x14ac:dyDescent="0.3">
      <c r="G194">
        <v>190</v>
      </c>
      <c r="H194" s="2" cm="1">
        <f t="array" aca="1" ref="H194:I1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3438307.1082199686</v>
      </c>
      <c r="I194" s="3">
        <f ca="1"/>
        <v>5.3569058857188288E-2</v>
      </c>
      <c r="L194" s="1">
        <f ca="1"/>
        <v>1357652.2906333245</v>
      </c>
      <c r="N194">
        <f ca="1"/>
        <v>33572463.174395755</v>
      </c>
    </row>
    <row r="195" spans="7:14" x14ac:dyDescent="0.3">
      <c r="G195">
        <v>191</v>
      </c>
      <c r="H195" s="2" cm="1">
        <f t="array" aca="1" ref="H195:I1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95" s="3">
        <f ca="1"/>
        <v>3.2582296197341085E-2</v>
      </c>
      <c r="L195" s="1">
        <f ca="1"/>
        <v>61455.106232781909</v>
      </c>
      <c r="N195">
        <f ca="1"/>
        <v>4344762.079892139</v>
      </c>
    </row>
    <row r="196" spans="7:14" x14ac:dyDescent="0.3">
      <c r="G196">
        <v>192</v>
      </c>
      <c r="H196" s="2" cm="1">
        <f t="array" aca="1" ref="H196:I1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96" s="3">
        <f ca="1"/>
        <v>4.2507382009897295E-2</v>
      </c>
      <c r="L196" s="1">
        <f ca="1"/>
        <v>1000730.6784182354</v>
      </c>
      <c r="N196">
        <f ca="1"/>
        <v>5261074.1353449905</v>
      </c>
    </row>
    <row r="197" spans="7:14" x14ac:dyDescent="0.3">
      <c r="G197">
        <v>193</v>
      </c>
      <c r="H197" s="2" cm="1">
        <f t="array" aca="1" ref="H197:I1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97" s="3">
        <f ca="1"/>
        <v>1.6254101763917051E-2</v>
      </c>
      <c r="L197" s="1">
        <f ca="1"/>
        <v>14533328.132873571</v>
      </c>
      <c r="N197">
        <f ca="1"/>
        <v>4891442.440935879</v>
      </c>
    </row>
    <row r="198" spans="7:14" x14ac:dyDescent="0.3">
      <c r="G198">
        <v>194</v>
      </c>
      <c r="H198" s="2" cm="1">
        <f t="array" aca="1" ref="H198:I1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2818642.6766660046</v>
      </c>
      <c r="I198" s="3">
        <f ca="1"/>
        <v>5.836149137293719E-2</v>
      </c>
      <c r="L198" s="1">
        <f ca="1"/>
        <v>0</v>
      </c>
      <c r="N198">
        <f ca="1"/>
        <v>2010048.6796037699</v>
      </c>
    </row>
    <row r="199" spans="7:14" x14ac:dyDescent="0.3">
      <c r="G199">
        <v>195</v>
      </c>
      <c r="H199" s="2" cm="1">
        <f t="array" aca="1" ref="H199:I1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99" s="3">
        <f ca="1"/>
        <v>1.5781798468521003E-2</v>
      </c>
      <c r="L199" s="1">
        <f ca="1"/>
        <v>293754.47695375187</v>
      </c>
      <c r="N199">
        <f ca="1"/>
        <v>802614.12173611473</v>
      </c>
    </row>
    <row r="200" spans="7:14" x14ac:dyDescent="0.3">
      <c r="G200">
        <v>196</v>
      </c>
      <c r="H200" s="2" cm="1">
        <f t="array" aca="1" ref="H200:I2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4616793.857322895</v>
      </c>
      <c r="I200" s="3">
        <f ca="1"/>
        <v>5.8449870409309615E-2</v>
      </c>
      <c r="L200" s="1">
        <f ca="1"/>
        <v>934778.5608113152</v>
      </c>
      <c r="N200">
        <f ca="1"/>
        <v>3819435.2901164889</v>
      </c>
    </row>
    <row r="201" spans="7:14" x14ac:dyDescent="0.3">
      <c r="G201">
        <v>197</v>
      </c>
      <c r="H201" s="2" cm="1">
        <f t="array" aca="1" ref="H201:I2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01" s="3">
        <f ca="1"/>
        <v>2.153817246587534E-2</v>
      </c>
      <c r="L201" s="1">
        <f ca="1"/>
        <v>11638411.295625959</v>
      </c>
      <c r="N201">
        <f ca="1"/>
        <v>6168279.0131289968</v>
      </c>
    </row>
    <row r="202" spans="7:14" x14ac:dyDescent="0.3">
      <c r="G202">
        <v>198</v>
      </c>
      <c r="H202" s="2" cm="1">
        <f t="array" aca="1" ref="H202:I2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02" s="3">
        <f ca="1"/>
        <v>6.494822906352055E-3</v>
      </c>
      <c r="L202" s="1">
        <f ca="1"/>
        <v>664971.04617290152</v>
      </c>
      <c r="N202">
        <f ca="1"/>
        <v>1220964.4481186296</v>
      </c>
    </row>
    <row r="203" spans="7:14" x14ac:dyDescent="0.3">
      <c r="G203">
        <v>199</v>
      </c>
      <c r="H203" s="2" cm="1">
        <f t="array" aca="1" ref="H203:I2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719742.15065633645</v>
      </c>
      <c r="I203" s="3">
        <f ca="1"/>
        <v>6.2530039580280777E-2</v>
      </c>
      <c r="L203" s="1">
        <f ca="1"/>
        <v>260328.05984506791</v>
      </c>
      <c r="N203">
        <f ca="1"/>
        <v>4012537.7132848715</v>
      </c>
    </row>
    <row r="204" spans="7:14" x14ac:dyDescent="0.3">
      <c r="G204">
        <v>200</v>
      </c>
      <c r="H204" s="2" cm="1">
        <f t="array" aca="1" ref="H204:I2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2611928.3896846008</v>
      </c>
      <c r="I204" s="3">
        <f ca="1"/>
        <v>6.4712644516835463E-2</v>
      </c>
      <c r="L204" s="1">
        <f ca="1"/>
        <v>0</v>
      </c>
      <c r="N204">
        <f ca="1"/>
        <v>9780490.0857698433</v>
      </c>
    </row>
    <row r="205" spans="7:14" x14ac:dyDescent="0.3">
      <c r="G205">
        <v>201</v>
      </c>
      <c r="H205" s="2" cm="1">
        <f t="array" aca="1" ref="H205:I2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2407043.1964847124</v>
      </c>
      <c r="I205" s="3">
        <f ca="1"/>
        <v>5.3157677236026803E-2</v>
      </c>
      <c r="L205" s="1">
        <f ca="1"/>
        <v>0</v>
      </c>
      <c r="N205">
        <f ca="1"/>
        <v>0</v>
      </c>
    </row>
    <row r="206" spans="7:14" x14ac:dyDescent="0.3">
      <c r="G206">
        <v>202</v>
      </c>
      <c r="H206" s="2" cm="1">
        <f t="array" aca="1" ref="H206:I2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06" s="3">
        <f ca="1"/>
        <v>4.1316413221243194E-2</v>
      </c>
      <c r="L206" s="1">
        <f ca="1"/>
        <v>6670408.8515581032</v>
      </c>
      <c r="N206">
        <f ca="1"/>
        <v>0</v>
      </c>
    </row>
    <row r="207" spans="7:14" x14ac:dyDescent="0.3">
      <c r="G207">
        <v>203</v>
      </c>
      <c r="H207" s="2" cm="1">
        <f t="array" aca="1" ref="H207:I2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07" s="3">
        <f ca="1"/>
        <v>5.6320995626702085E-2</v>
      </c>
      <c r="L207" s="1">
        <f ca="1"/>
        <v>0</v>
      </c>
      <c r="N207">
        <f ca="1"/>
        <v>2563341.8976653307</v>
      </c>
    </row>
    <row r="208" spans="7:14" x14ac:dyDescent="0.3">
      <c r="G208">
        <v>204</v>
      </c>
      <c r="H208" s="2" cm="1">
        <f t="array" aca="1" ref="H208:I2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273375.93212603033</v>
      </c>
      <c r="I208" s="3">
        <f ca="1"/>
        <v>4.865776245428384E-2</v>
      </c>
      <c r="L208" s="1">
        <f ca="1"/>
        <v>7626266.5339055853</v>
      </c>
      <c r="N208">
        <f ca="1"/>
        <v>5886576.1846583877</v>
      </c>
    </row>
    <row r="209" spans="7:14" x14ac:dyDescent="0.3">
      <c r="G209">
        <v>205</v>
      </c>
      <c r="H209" s="2" cm="1">
        <f t="array" aca="1" ref="H209:I2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1825575.9222189682</v>
      </c>
      <c r="I209" s="3">
        <f ca="1"/>
        <v>5.8149106658443597E-2</v>
      </c>
      <c r="L209" s="1">
        <f ca="1"/>
        <v>1741736.3053955396</v>
      </c>
      <c r="N209">
        <f ca="1"/>
        <v>4197501.5811637146</v>
      </c>
    </row>
    <row r="210" spans="7:14" x14ac:dyDescent="0.3">
      <c r="G210">
        <v>206</v>
      </c>
      <c r="H210" s="2" cm="1">
        <f t="array" aca="1" ref="H210:I2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10" s="3">
        <f ca="1"/>
        <v>6.1292059923236164E-2</v>
      </c>
      <c r="L210" s="1">
        <f ca="1"/>
        <v>0</v>
      </c>
      <c r="N210">
        <f ca="1"/>
        <v>7936025.8075383548</v>
      </c>
    </row>
    <row r="211" spans="7:14" x14ac:dyDescent="0.3">
      <c r="G211">
        <v>207</v>
      </c>
      <c r="H211" s="2" cm="1">
        <f t="array" aca="1" ref="H211:I2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2438164.0409873426</v>
      </c>
      <c r="I211" s="3">
        <f ca="1"/>
        <v>5.1442683971190638E-2</v>
      </c>
      <c r="L211" s="1">
        <f ca="1"/>
        <v>0</v>
      </c>
      <c r="N211">
        <f ca="1"/>
        <v>14022601.434037413</v>
      </c>
    </row>
    <row r="212" spans="7:14" x14ac:dyDescent="0.3">
      <c r="G212">
        <v>208</v>
      </c>
      <c r="H212" s="2" cm="1">
        <f t="array" aca="1" ref="H212:I2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380544.25046093762</v>
      </c>
      <c r="I212" s="3">
        <f ca="1"/>
        <v>3.4152603677856046E-2</v>
      </c>
      <c r="L212" s="1">
        <f ca="1"/>
        <v>10403859.393111367</v>
      </c>
      <c r="N212">
        <f ca="1"/>
        <v>112055.74240154568</v>
      </c>
    </row>
    <row r="213" spans="7:14" x14ac:dyDescent="0.3">
      <c r="G213">
        <v>209</v>
      </c>
      <c r="H213" s="2" cm="1">
        <f t="array" aca="1" ref="H213:I2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18146577.937465794</v>
      </c>
      <c r="I213" s="3">
        <f ca="1"/>
        <v>8.7779558517624298E-2</v>
      </c>
      <c r="L213" s="1">
        <f ca="1"/>
        <v>0</v>
      </c>
      <c r="N213">
        <f ca="1"/>
        <v>0</v>
      </c>
    </row>
    <row r="214" spans="7:14" x14ac:dyDescent="0.3">
      <c r="G214">
        <v>210</v>
      </c>
      <c r="H214" s="2" cm="1">
        <f t="array" aca="1" ref="H214:I2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14" s="3">
        <f ca="1"/>
        <v>4.7006707440076845E-2</v>
      </c>
      <c r="L214" s="1">
        <f ca="1"/>
        <v>47481.471627287319</v>
      </c>
      <c r="N214">
        <f ca="1"/>
        <v>10424324.232682822</v>
      </c>
    </row>
    <row r="215" spans="7:14" x14ac:dyDescent="0.3">
      <c r="G215">
        <v>211</v>
      </c>
      <c r="H215" s="2" cm="1">
        <f t="array" aca="1" ref="H215:I2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13733112.280684063</v>
      </c>
      <c r="I215" s="3">
        <f ca="1"/>
        <v>9.4857226661061528E-2</v>
      </c>
      <c r="L215" s="1">
        <f ca="1"/>
        <v>1915851.0821113801</v>
      </c>
      <c r="N215">
        <f ca="1"/>
        <v>6386178.315790629</v>
      </c>
    </row>
    <row r="216" spans="7:14" x14ac:dyDescent="0.3">
      <c r="G216">
        <v>212</v>
      </c>
      <c r="H216" s="2" cm="1">
        <f t="array" aca="1" ref="H216:I2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16" s="3">
        <f ca="1"/>
        <v>2.8701017798122813E-2</v>
      </c>
      <c r="L216" s="1">
        <f ca="1"/>
        <v>1982235.5454794304</v>
      </c>
      <c r="N216">
        <f ca="1"/>
        <v>12237025.629126608</v>
      </c>
    </row>
    <row r="217" spans="7:14" x14ac:dyDescent="0.3">
      <c r="G217">
        <v>213</v>
      </c>
      <c r="H217" s="2" cm="1">
        <f t="array" aca="1" ref="H217:I2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32438276.4808552</v>
      </c>
      <c r="I217" s="3">
        <f ca="1"/>
        <v>0.10376158498517685</v>
      </c>
      <c r="L217" s="1">
        <f ca="1"/>
        <v>0</v>
      </c>
      <c r="N217">
        <f ca="1"/>
        <v>2026267.5899930801</v>
      </c>
    </row>
    <row r="218" spans="7:14" x14ac:dyDescent="0.3">
      <c r="G218">
        <v>214</v>
      </c>
      <c r="H218" s="2" cm="1">
        <f t="array" aca="1" ref="H218:I2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18" s="3">
        <f ca="1"/>
        <v>2.3682762117533111E-2</v>
      </c>
      <c r="L218" s="1">
        <f ca="1"/>
        <v>199831.00144294818</v>
      </c>
      <c r="N218">
        <f ca="1"/>
        <v>7939392.1170135196</v>
      </c>
    </row>
    <row r="219" spans="7:14" x14ac:dyDescent="0.3">
      <c r="G219">
        <v>215</v>
      </c>
      <c r="H219" s="2" cm="1">
        <f t="array" aca="1" ref="H219:I2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1511906.4420051696</v>
      </c>
      <c r="I219" s="3">
        <f ca="1"/>
        <v>6.2480134573444333E-2</v>
      </c>
      <c r="L219" s="1">
        <f ca="1"/>
        <v>4515557.0648566224</v>
      </c>
      <c r="N219">
        <f ca="1"/>
        <v>22377900.702566255</v>
      </c>
    </row>
    <row r="220" spans="7:14" x14ac:dyDescent="0.3">
      <c r="G220">
        <v>216</v>
      </c>
      <c r="H220" s="2" cm="1">
        <f t="array" aca="1" ref="H220:I2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691212.17325562914</v>
      </c>
      <c r="I220" s="3">
        <f ca="1"/>
        <v>5.2230595658602816E-2</v>
      </c>
      <c r="L220" s="1">
        <f ca="1"/>
        <v>13096471.951109985</v>
      </c>
      <c r="N220">
        <f ca="1"/>
        <v>5244171.9795595566</v>
      </c>
    </row>
    <row r="221" spans="7:14" x14ac:dyDescent="0.3">
      <c r="G221">
        <v>217</v>
      </c>
      <c r="H221" s="2" cm="1">
        <f t="array" aca="1" ref="H221:I2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46099690.447870299</v>
      </c>
      <c r="I221" s="3">
        <f ca="1"/>
        <v>0.10705766450964618</v>
      </c>
      <c r="L221" s="1">
        <f ca="1"/>
        <v>434249.33656140493</v>
      </c>
      <c r="N221">
        <f ca="1"/>
        <v>10487163.421006279</v>
      </c>
    </row>
    <row r="222" spans="7:14" x14ac:dyDescent="0.3">
      <c r="G222">
        <v>218</v>
      </c>
      <c r="H222" s="2" cm="1">
        <f t="array" aca="1" ref="H222:I2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18244980.043474104</v>
      </c>
      <c r="I222" s="3">
        <f ca="1"/>
        <v>8.4621614098786616E-2</v>
      </c>
      <c r="L222" s="1">
        <f ca="1"/>
        <v>11497244.517961815</v>
      </c>
      <c r="N222">
        <f ca="1"/>
        <v>2619225.4821932656</v>
      </c>
    </row>
    <row r="223" spans="7:14" x14ac:dyDescent="0.3">
      <c r="G223">
        <v>219</v>
      </c>
      <c r="H223" s="2" cm="1">
        <f t="array" aca="1" ref="H223:I2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23" s="3">
        <f ca="1"/>
        <v>9.0665575576782901E-3</v>
      </c>
      <c r="L223" s="1">
        <f ca="1"/>
        <v>901896.96870221768</v>
      </c>
      <c r="N223">
        <f ca="1"/>
        <v>6922832.9296295987</v>
      </c>
    </row>
    <row r="224" spans="7:14" x14ac:dyDescent="0.3">
      <c r="G224">
        <v>220</v>
      </c>
      <c r="H224" s="2" cm="1">
        <f t="array" aca="1" ref="H224:I2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2347725.0855344268</v>
      </c>
      <c r="I224" s="3">
        <f ca="1"/>
        <v>6.3066246768778547E-2</v>
      </c>
      <c r="L224" s="1">
        <f ca="1"/>
        <v>1077314.088799617</v>
      </c>
      <c r="N224">
        <f ca="1"/>
        <v>22159431.000527374</v>
      </c>
    </row>
    <row r="225" spans="7:14" x14ac:dyDescent="0.3">
      <c r="G225">
        <v>221</v>
      </c>
      <c r="H225" s="2" cm="1">
        <f t="array" aca="1" ref="H225:I2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1767554.6589730936</v>
      </c>
      <c r="I225" s="3">
        <f ca="1"/>
        <v>4.3637724095018607E-2</v>
      </c>
      <c r="L225" s="1">
        <f ca="1"/>
        <v>1280674.1958527393</v>
      </c>
      <c r="N225">
        <f ca="1"/>
        <v>1802355.1414957568</v>
      </c>
    </row>
    <row r="226" spans="7:14" x14ac:dyDescent="0.3">
      <c r="G226">
        <v>222</v>
      </c>
      <c r="H226" s="2" cm="1">
        <f t="array" aca="1" ref="H226:I2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823095.9029988572</v>
      </c>
      <c r="I226" s="3">
        <f ca="1"/>
        <v>5.6620394240624781E-2</v>
      </c>
      <c r="L226" s="1">
        <f ca="1"/>
        <v>8924287.2597050443</v>
      </c>
      <c r="N226">
        <f ca="1"/>
        <v>39015299.232623264</v>
      </c>
    </row>
    <row r="227" spans="7:14" x14ac:dyDescent="0.3">
      <c r="G227">
        <v>223</v>
      </c>
      <c r="H227" s="2" cm="1">
        <f t="array" aca="1" ref="H227:I2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352561.99059469427</v>
      </c>
      <c r="I227" s="3">
        <f ca="1"/>
        <v>3.2654518802786567E-2</v>
      </c>
      <c r="L227" s="1">
        <f ca="1"/>
        <v>10295581.488948651</v>
      </c>
      <c r="N227">
        <f ca="1"/>
        <v>4203362.0760559812</v>
      </c>
    </row>
    <row r="228" spans="7:14" x14ac:dyDescent="0.3">
      <c r="G228">
        <v>224</v>
      </c>
      <c r="H228" s="2" cm="1">
        <f t="array" aca="1" ref="H228:I2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12796769.112012746</v>
      </c>
      <c r="I228" s="3">
        <f ca="1"/>
        <v>7.8476709090885347E-2</v>
      </c>
      <c r="L228" s="1">
        <f ca="1"/>
        <v>1020856.3075315047</v>
      </c>
      <c r="N228">
        <f ca="1"/>
        <v>2356628.5163172367</v>
      </c>
    </row>
    <row r="229" spans="7:14" x14ac:dyDescent="0.3">
      <c r="G229">
        <v>225</v>
      </c>
      <c r="H229" s="2" cm="1">
        <f t="array" aca="1" ref="H229:I2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30476.946354835527</v>
      </c>
      <c r="I229" s="3">
        <f ca="1"/>
        <v>4.949051171280637E-2</v>
      </c>
      <c r="L229" s="1">
        <f ca="1"/>
        <v>317555.44460738974</v>
      </c>
      <c r="N229">
        <f ca="1"/>
        <v>5973529.5094003584</v>
      </c>
    </row>
    <row r="230" spans="7:14" x14ac:dyDescent="0.3">
      <c r="G230">
        <v>226</v>
      </c>
      <c r="H230" s="2" cm="1">
        <f t="array" aca="1" ref="H230:I2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470329.89119530865</v>
      </c>
      <c r="I230" s="3">
        <f ca="1"/>
        <v>3.2224369879235645E-2</v>
      </c>
      <c r="L230" s="1">
        <f ca="1"/>
        <v>3484186.0566393742</v>
      </c>
      <c r="N230">
        <f ca="1"/>
        <v>0</v>
      </c>
    </row>
    <row r="231" spans="7:14" x14ac:dyDescent="0.3">
      <c r="G231">
        <v>227</v>
      </c>
      <c r="H231" s="2" cm="1">
        <f t="array" aca="1" ref="H231:I2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31" s="3">
        <f ca="1"/>
        <v>3.7744128244305397E-2</v>
      </c>
      <c r="L231" s="1">
        <f ca="1"/>
        <v>5043919.5281752069</v>
      </c>
      <c r="N231">
        <f ca="1"/>
        <v>0</v>
      </c>
    </row>
    <row r="232" spans="7:14" x14ac:dyDescent="0.3">
      <c r="G232">
        <v>228</v>
      </c>
      <c r="H232" s="2" cm="1">
        <f t="array" aca="1" ref="H232:I2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339032.50286767911</v>
      </c>
      <c r="I232" s="3">
        <f ca="1"/>
        <v>4.4323082819094139E-2</v>
      </c>
      <c r="L232" s="1">
        <f ca="1"/>
        <v>1492123.9598846843</v>
      </c>
      <c r="N232">
        <f ca="1"/>
        <v>40464585.619957611</v>
      </c>
    </row>
    <row r="233" spans="7:14" x14ac:dyDescent="0.3">
      <c r="G233">
        <v>229</v>
      </c>
      <c r="H233" s="2" cm="1">
        <f t="array" aca="1" ref="H233:I2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523265.74109524803</v>
      </c>
      <c r="I233" s="3">
        <f ca="1"/>
        <v>4.9298830064376596E-2</v>
      </c>
      <c r="L233" s="1">
        <f ca="1"/>
        <v>0</v>
      </c>
      <c r="N233">
        <f ca="1"/>
        <v>3977172.483039822</v>
      </c>
    </row>
    <row r="234" spans="7:14" x14ac:dyDescent="0.3">
      <c r="G234">
        <v>230</v>
      </c>
      <c r="H234" s="2" cm="1">
        <f t="array" aca="1" ref="H234:I2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9059309.2922941372</v>
      </c>
      <c r="I234" s="3">
        <f ca="1"/>
        <v>7.0595975838170191E-2</v>
      </c>
      <c r="L234" s="1">
        <f ca="1"/>
        <v>0</v>
      </c>
      <c r="N234">
        <f ca="1"/>
        <v>2694953.2156021567</v>
      </c>
    </row>
    <row r="235" spans="7:14" x14ac:dyDescent="0.3">
      <c r="G235">
        <v>231</v>
      </c>
      <c r="H235" s="2" cm="1">
        <f t="array" aca="1" ref="H235:I2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3012287.8157519293</v>
      </c>
      <c r="I235" s="3">
        <f ca="1"/>
        <v>4.8198877762005723E-2</v>
      </c>
      <c r="L235" s="1">
        <f ca="1"/>
        <v>0</v>
      </c>
      <c r="N235">
        <f ca="1"/>
        <v>20239287.452371836</v>
      </c>
    </row>
    <row r="236" spans="7:14" x14ac:dyDescent="0.3">
      <c r="G236">
        <v>232</v>
      </c>
      <c r="H236" s="2" cm="1">
        <f t="array" aca="1" ref="H236:I2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9392777.7250649314</v>
      </c>
      <c r="I236" s="3">
        <f ca="1"/>
        <v>7.7121983805262959E-2</v>
      </c>
      <c r="L236" s="1">
        <f ca="1"/>
        <v>12441896.961777663</v>
      </c>
      <c r="N236">
        <f ca="1"/>
        <v>153197.08054451511</v>
      </c>
    </row>
    <row r="237" spans="7:14" x14ac:dyDescent="0.3">
      <c r="G237">
        <v>233</v>
      </c>
      <c r="H237" s="2" cm="1">
        <f t="array" aca="1" ref="H237:I2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37" s="3">
        <f ca="1"/>
        <v>3.9429793302567448E-2</v>
      </c>
      <c r="L237" s="1">
        <f ca="1"/>
        <v>0</v>
      </c>
      <c r="N237">
        <f ca="1"/>
        <v>3082199.5619999915</v>
      </c>
    </row>
    <row r="238" spans="7:14" x14ac:dyDescent="0.3">
      <c r="G238">
        <v>234</v>
      </c>
      <c r="H238" s="2" cm="1">
        <f t="array" aca="1" ref="H238:I2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38" s="3">
        <f ca="1"/>
        <v>7.2414212685222773E-2</v>
      </c>
      <c r="L238" s="1">
        <f ca="1"/>
        <v>6545515.9071081467</v>
      </c>
      <c r="N238">
        <f ca="1"/>
        <v>2006403.9935896993</v>
      </c>
    </row>
    <row r="239" spans="7:14" x14ac:dyDescent="0.3">
      <c r="G239">
        <v>235</v>
      </c>
      <c r="H239" s="2" cm="1">
        <f t="array" aca="1" ref="H239:I2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6336457.8805735512</v>
      </c>
      <c r="I239" s="3">
        <f ca="1"/>
        <v>7.4111376536308865E-2</v>
      </c>
      <c r="L239" s="1">
        <f ca="1"/>
        <v>27699289.467070747</v>
      </c>
      <c r="N239">
        <f ca="1"/>
        <v>5690409.2906922614</v>
      </c>
    </row>
    <row r="240" spans="7:14" x14ac:dyDescent="0.3">
      <c r="G240">
        <v>236</v>
      </c>
      <c r="H240" s="2" cm="1">
        <f t="array" aca="1" ref="H240:I2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40" s="3">
        <f ca="1"/>
        <v>6.2945154094423042E-2</v>
      </c>
      <c r="L240" s="1">
        <f ca="1"/>
        <v>0</v>
      </c>
      <c r="N240">
        <f ca="1"/>
        <v>51748804.806831613</v>
      </c>
    </row>
    <row r="241" spans="7:14" x14ac:dyDescent="0.3">
      <c r="G241">
        <v>237</v>
      </c>
      <c r="H241" s="2" cm="1">
        <f t="array" aca="1" ref="H241:I2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5208508.5960686142</v>
      </c>
      <c r="I241" s="3">
        <f ca="1"/>
        <v>7.3826238298207864E-2</v>
      </c>
      <c r="L241" s="1">
        <f ca="1"/>
        <v>1116831.1822200406</v>
      </c>
      <c r="N241">
        <f ca="1"/>
        <v>4470954.829667246</v>
      </c>
    </row>
    <row r="242" spans="7:14" x14ac:dyDescent="0.3">
      <c r="G242">
        <v>238</v>
      </c>
      <c r="H242" s="2" cm="1">
        <f t="array" aca="1" ref="H242:I2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890579.11660665541</v>
      </c>
      <c r="I242" s="3">
        <f ca="1"/>
        <v>6.2085571879117708E-2</v>
      </c>
      <c r="L242" s="1">
        <f ca="1"/>
        <v>407460.97910519602</v>
      </c>
      <c r="N242">
        <f ca="1"/>
        <v>6247721.8879606938</v>
      </c>
    </row>
    <row r="243" spans="7:14" x14ac:dyDescent="0.3">
      <c r="G243">
        <v>239</v>
      </c>
      <c r="H243" s="2" cm="1">
        <f t="array" aca="1" ref="H243:I2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3400245.417354885</v>
      </c>
      <c r="I243" s="3">
        <f ca="1"/>
        <v>4.9431062462572103E-2</v>
      </c>
      <c r="L243" s="1">
        <f ca="1"/>
        <v>607557.37214391469</v>
      </c>
      <c r="N243">
        <f ca="1"/>
        <v>5119018.2285955437</v>
      </c>
    </row>
    <row r="244" spans="7:14" x14ac:dyDescent="0.3">
      <c r="G244">
        <v>240</v>
      </c>
      <c r="H244" s="2" cm="1">
        <f t="array" aca="1" ref="H244:I2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695632.0324338394</v>
      </c>
      <c r="I244" s="3">
        <f ca="1"/>
        <v>4.5802188804415098E-2</v>
      </c>
      <c r="L244" s="1">
        <f ca="1"/>
        <v>16983687.633074526</v>
      </c>
      <c r="N244">
        <f ca="1"/>
        <v>0</v>
      </c>
    </row>
    <row r="245" spans="7:14" x14ac:dyDescent="0.3">
      <c r="G245">
        <v>241</v>
      </c>
      <c r="H245" s="2" cm="1">
        <f t="array" aca="1" ref="H245:I2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45" s="3">
        <f ca="1"/>
        <v>3.4699101852802131E-2</v>
      </c>
      <c r="L245" s="1">
        <f ca="1"/>
        <v>41730662.274157092</v>
      </c>
      <c r="N245">
        <f ca="1"/>
        <v>3676432.833237926</v>
      </c>
    </row>
    <row r="246" spans="7:14" x14ac:dyDescent="0.3">
      <c r="G246">
        <v>242</v>
      </c>
      <c r="H246" s="2" cm="1">
        <f t="array" aca="1" ref="H246:I2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389573.24284791551</v>
      </c>
      <c r="I246" s="3">
        <f ca="1"/>
        <v>5.3475214726150411E-2</v>
      </c>
      <c r="L246" s="1">
        <f ca="1"/>
        <v>2062720.6257196232</v>
      </c>
      <c r="N246">
        <f ca="1"/>
        <v>6557395.4779567951</v>
      </c>
    </row>
    <row r="247" spans="7:14" x14ac:dyDescent="0.3">
      <c r="G247">
        <v>243</v>
      </c>
      <c r="H247" s="2" cm="1">
        <f t="array" aca="1" ref="H247:I2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972449.96913732192</v>
      </c>
      <c r="I247" s="3">
        <f ca="1"/>
        <v>5.4118009664270439E-2</v>
      </c>
      <c r="L247" s="1">
        <f ca="1"/>
        <v>3653699.115140277</v>
      </c>
      <c r="N247">
        <f ca="1"/>
        <v>10965581.133713327</v>
      </c>
    </row>
    <row r="248" spans="7:14" x14ac:dyDescent="0.3">
      <c r="G248">
        <v>244</v>
      </c>
      <c r="H248" s="2" cm="1">
        <f t="array" aca="1" ref="H248:I2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48" s="3">
        <f ca="1"/>
        <v>4.9694039491404877E-2</v>
      </c>
      <c r="L248" s="1">
        <f ca="1"/>
        <v>35015547.216232434</v>
      </c>
      <c r="N248">
        <f ca="1"/>
        <v>0</v>
      </c>
    </row>
    <row r="249" spans="7:14" x14ac:dyDescent="0.3">
      <c r="G249">
        <v>245</v>
      </c>
      <c r="H249" s="2" cm="1">
        <f t="array" aca="1" ref="H249:I2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3556321.7589497645</v>
      </c>
      <c r="I249" s="3">
        <f ca="1"/>
        <v>6.5058721227890831E-2</v>
      </c>
      <c r="L249" s="1">
        <f ca="1"/>
        <v>20240629.947694045</v>
      </c>
      <c r="N249">
        <f ca="1"/>
        <v>1864127.8172418308</v>
      </c>
    </row>
    <row r="250" spans="7:14" x14ac:dyDescent="0.3">
      <c r="G250">
        <v>246</v>
      </c>
      <c r="H250" s="2" cm="1">
        <f t="array" aca="1" ref="H250:I2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3089878.6590156313</v>
      </c>
      <c r="I250" s="3">
        <f ca="1"/>
        <v>5.8443844060675779E-2</v>
      </c>
      <c r="L250" s="1">
        <f ca="1"/>
        <v>1288987.5276381692</v>
      </c>
      <c r="N250">
        <f ca="1"/>
        <v>544790.15112670138</v>
      </c>
    </row>
    <row r="251" spans="7:14" x14ac:dyDescent="0.3">
      <c r="G251">
        <v>247</v>
      </c>
      <c r="H251" s="2" cm="1">
        <f t="array" aca="1" ref="H251:I2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4816668.1931912377</v>
      </c>
      <c r="I251" s="3">
        <f ca="1"/>
        <v>6.4235019775274321E-2</v>
      </c>
      <c r="L251" s="1">
        <f ca="1"/>
        <v>1264337.2680139621</v>
      </c>
      <c r="N251">
        <f ca="1"/>
        <v>985849.67078272928</v>
      </c>
    </row>
    <row r="252" spans="7:14" x14ac:dyDescent="0.3">
      <c r="G252">
        <v>248</v>
      </c>
      <c r="H252" s="2" cm="1">
        <f t="array" aca="1" ref="H252:I2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52" s="3">
        <f ca="1"/>
        <v>1.8424900804338482E-2</v>
      </c>
      <c r="L252" s="1">
        <f ca="1"/>
        <v>6411364.8494261988</v>
      </c>
      <c r="N252">
        <f ca="1"/>
        <v>0</v>
      </c>
    </row>
    <row r="253" spans="7:14" x14ac:dyDescent="0.3">
      <c r="G253">
        <v>249</v>
      </c>
      <c r="H253" s="2" cm="1">
        <f t="array" aca="1" ref="H253:I2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4396418.3291329108</v>
      </c>
      <c r="I253" s="3">
        <f ca="1"/>
        <v>6.8199444702725126E-2</v>
      </c>
      <c r="L253" s="1">
        <f ca="1"/>
        <v>0</v>
      </c>
      <c r="N253">
        <f ca="1"/>
        <v>19155540.789953951</v>
      </c>
    </row>
    <row r="254" spans="7:14" x14ac:dyDescent="0.3">
      <c r="G254">
        <v>250</v>
      </c>
      <c r="H254" s="2" cm="1">
        <f t="array" aca="1" ref="H254:I2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54" s="3">
        <f ca="1"/>
        <v>4.0585861993279265E-2</v>
      </c>
      <c r="L254" s="1">
        <f ca="1"/>
        <v>0</v>
      </c>
      <c r="N254">
        <f ca="1"/>
        <v>1002550.9755661536</v>
      </c>
    </row>
    <row r="255" spans="7:14" x14ac:dyDescent="0.3">
      <c r="G255">
        <v>251</v>
      </c>
      <c r="H255" s="2" cm="1">
        <f t="array" aca="1" ref="H255:I2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16996885.234300818</v>
      </c>
      <c r="I255" s="3">
        <f ca="1"/>
        <v>9.3253647171848947E-2</v>
      </c>
      <c r="L255" s="1">
        <f ca="1"/>
        <v>1203283.2095832094</v>
      </c>
      <c r="N255">
        <f ca="1"/>
        <v>4629633.3642817372</v>
      </c>
    </row>
    <row r="256" spans="7:14" x14ac:dyDescent="0.3">
      <c r="G256">
        <v>252</v>
      </c>
      <c r="H256" s="2" cm="1">
        <f t="array" aca="1" ref="H256:I2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56" s="3">
        <f ca="1"/>
        <v>5.041336405168724E-2</v>
      </c>
      <c r="L256" s="1">
        <f ca="1"/>
        <v>2957516.8022380406</v>
      </c>
      <c r="N256">
        <f ca="1"/>
        <v>2125076.9518143721</v>
      </c>
    </row>
    <row r="257" spans="7:14" x14ac:dyDescent="0.3">
      <c r="G257">
        <v>253</v>
      </c>
      <c r="H257" s="2" cm="1">
        <f t="array" aca="1" ref="H257:I2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94273.384066069382</v>
      </c>
      <c r="I257" s="3">
        <f ca="1"/>
        <v>3.5249534525296666E-2</v>
      </c>
      <c r="L257" s="1">
        <f ca="1"/>
        <v>22877820.511136025</v>
      </c>
      <c r="N257">
        <f ca="1"/>
        <v>5015955.6224464988</v>
      </c>
    </row>
    <row r="258" spans="7:14" x14ac:dyDescent="0.3">
      <c r="G258">
        <v>254</v>
      </c>
      <c r="H258" s="2" cm="1">
        <f t="array" aca="1" ref="H258:I2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2252966.5083511709</v>
      </c>
      <c r="I258" s="3">
        <f ca="1"/>
        <v>4.4531559402903709E-2</v>
      </c>
      <c r="L258" s="1">
        <f ca="1"/>
        <v>0</v>
      </c>
      <c r="N258">
        <f ca="1"/>
        <v>0</v>
      </c>
    </row>
    <row r="259" spans="7:14" x14ac:dyDescent="0.3">
      <c r="G259">
        <v>255</v>
      </c>
      <c r="H259" s="2" cm="1">
        <f t="array" aca="1" ref="H259:I2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6012208.4127089484</v>
      </c>
      <c r="I259" s="3">
        <f ca="1"/>
        <v>6.5331785805565659E-2</v>
      </c>
      <c r="L259" s="1">
        <f ca="1"/>
        <v>0</v>
      </c>
      <c r="N259">
        <f ca="1"/>
        <v>3250935.5394211635</v>
      </c>
    </row>
    <row r="260" spans="7:14" x14ac:dyDescent="0.3">
      <c r="G260">
        <v>256</v>
      </c>
      <c r="H260" s="2" cm="1">
        <f t="array" aca="1" ref="H260:I2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60" s="3">
        <f ca="1"/>
        <v>2.9440208322968332E-2</v>
      </c>
      <c r="L260" s="1">
        <f ca="1"/>
        <v>15369095.729287494</v>
      </c>
      <c r="N260">
        <f ca="1"/>
        <v>13139016.273924563</v>
      </c>
    </row>
    <row r="261" spans="7:14" x14ac:dyDescent="0.3">
      <c r="G261">
        <v>257</v>
      </c>
      <c r="H261" s="2" cm="1">
        <f t="array" aca="1" ref="H261:I2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2210969.8447487131</v>
      </c>
      <c r="I261" s="3">
        <f ca="1"/>
        <v>6.0404040682212237E-2</v>
      </c>
      <c r="L261" s="1">
        <f ca="1"/>
        <v>0</v>
      </c>
      <c r="N261">
        <f ca="1"/>
        <v>10042131.670366572</v>
      </c>
    </row>
    <row r="262" spans="7:14" x14ac:dyDescent="0.3">
      <c r="G262">
        <v>258</v>
      </c>
      <c r="H262" s="2" cm="1">
        <f t="array" aca="1" ref="H262:I2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4180094.9891123134</v>
      </c>
      <c r="I262" s="3">
        <f ca="1"/>
        <v>5.7929284655793688E-2</v>
      </c>
      <c r="L262" s="1">
        <f ca="1"/>
        <v>0</v>
      </c>
      <c r="N262">
        <f ca="1"/>
        <v>0</v>
      </c>
    </row>
    <row r="263" spans="7:14" x14ac:dyDescent="0.3">
      <c r="G263">
        <v>259</v>
      </c>
      <c r="H263" s="2" cm="1">
        <f t="array" aca="1" ref="H263:I2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63" s="3">
        <f ca="1"/>
        <v>5.0733353584306251E-2</v>
      </c>
      <c r="L263" s="1">
        <f ca="1"/>
        <v>2557953.9426874411</v>
      </c>
      <c r="N263">
        <f ca="1"/>
        <v>924551.17997227784</v>
      </c>
    </row>
    <row r="264" spans="7:14" x14ac:dyDescent="0.3">
      <c r="G264">
        <v>260</v>
      </c>
      <c r="H264" s="2" cm="1">
        <f t="array" aca="1" ref="H264:I2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1941267.2630232284</v>
      </c>
      <c r="I264" s="3">
        <f ca="1"/>
        <v>5.1787059996208328E-2</v>
      </c>
      <c r="L264" s="1">
        <f ca="1"/>
        <v>850871.84056570451</v>
      </c>
      <c r="N264">
        <f ca="1"/>
        <v>5552595.8831514446</v>
      </c>
    </row>
    <row r="265" spans="7:14" x14ac:dyDescent="0.3">
      <c r="G265">
        <v>261</v>
      </c>
      <c r="H265" s="2" cm="1">
        <f t="array" aca="1" ref="H265:I2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22420296.322934892</v>
      </c>
      <c r="I265" s="3">
        <f ca="1"/>
        <v>9.0272313131751936E-2</v>
      </c>
      <c r="L265" s="1">
        <f ca="1"/>
        <v>20561327.373845838</v>
      </c>
      <c r="N265">
        <f ca="1"/>
        <v>99503.839248895369</v>
      </c>
    </row>
    <row r="266" spans="7:14" x14ac:dyDescent="0.3">
      <c r="G266">
        <v>262</v>
      </c>
      <c r="H266" s="2" cm="1">
        <f t="array" aca="1" ref="H266:I2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66" s="3">
        <f ca="1"/>
        <v>2.5050852287976922E-2</v>
      </c>
      <c r="L266" s="1">
        <f ca="1"/>
        <v>10657804.698783137</v>
      </c>
      <c r="N266">
        <f ca="1"/>
        <v>32272705.394197933</v>
      </c>
    </row>
    <row r="267" spans="7:14" x14ac:dyDescent="0.3">
      <c r="G267">
        <v>263</v>
      </c>
      <c r="H267" s="2" cm="1">
        <f t="array" aca="1" ref="H267:I2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8609734.3440268282</v>
      </c>
      <c r="I267" s="3">
        <f ca="1"/>
        <v>6.557959315629841E-2</v>
      </c>
      <c r="L267" s="1">
        <f ca="1"/>
        <v>1212479.0070051264</v>
      </c>
      <c r="N267">
        <f ca="1"/>
        <v>7340736.6906011654</v>
      </c>
    </row>
    <row r="268" spans="7:14" x14ac:dyDescent="0.3">
      <c r="G268">
        <v>264</v>
      </c>
      <c r="H268" s="2" cm="1">
        <f t="array" aca="1" ref="H268:I2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14703510.187550515</v>
      </c>
      <c r="I268" s="3">
        <f ca="1"/>
        <v>8.7351526335352009E-2</v>
      </c>
      <c r="L268" s="1">
        <f ca="1"/>
        <v>2865115.8104710523</v>
      </c>
      <c r="N268">
        <f ca="1"/>
        <v>32478622.388993233</v>
      </c>
    </row>
    <row r="269" spans="7:14" x14ac:dyDescent="0.3">
      <c r="G269">
        <v>265</v>
      </c>
      <c r="H269" s="2" cm="1">
        <f t="array" aca="1" ref="H269:I2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69" s="3">
        <f ca="1"/>
        <v>5.0935598349483115E-2</v>
      </c>
      <c r="L269" s="1">
        <f ca="1"/>
        <v>8427453.4514078125</v>
      </c>
      <c r="N269">
        <f ca="1"/>
        <v>4101022.1034459686</v>
      </c>
    </row>
    <row r="270" spans="7:14" x14ac:dyDescent="0.3">
      <c r="G270">
        <v>266</v>
      </c>
      <c r="H270" s="2" cm="1">
        <f t="array" aca="1" ref="H270:I2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5758494.6150792222</v>
      </c>
      <c r="I270" s="3">
        <f ca="1"/>
        <v>6.9966878047360209E-2</v>
      </c>
      <c r="L270" s="1">
        <f ca="1"/>
        <v>6043103.8266661773</v>
      </c>
      <c r="N270">
        <f ca="1"/>
        <v>6761761.4579109494</v>
      </c>
    </row>
    <row r="271" spans="7:14" x14ac:dyDescent="0.3">
      <c r="G271">
        <v>267</v>
      </c>
      <c r="H271" s="2" cm="1">
        <f t="array" aca="1" ref="H271:I2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71" s="3">
        <f ca="1"/>
        <v>4.3106982146021142E-2</v>
      </c>
      <c r="L271" s="1">
        <f ca="1"/>
        <v>15028869.598892115</v>
      </c>
      <c r="N271">
        <f ca="1"/>
        <v>478604.63384170848</v>
      </c>
    </row>
    <row r="272" spans="7:14" x14ac:dyDescent="0.3">
      <c r="G272">
        <v>268</v>
      </c>
      <c r="H272" s="2" cm="1">
        <f t="array" aca="1" ref="H272:I2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12955100.770503089</v>
      </c>
      <c r="I272" s="3">
        <f ca="1"/>
        <v>8.9641046056437995E-2</v>
      </c>
      <c r="L272" s="1">
        <f ca="1"/>
        <v>21985682.501576073</v>
      </c>
      <c r="N272">
        <f ca="1"/>
        <v>7773316.593457941</v>
      </c>
    </row>
    <row r="273" spans="7:14" x14ac:dyDescent="0.3">
      <c r="G273">
        <v>269</v>
      </c>
      <c r="H273" s="2" cm="1">
        <f t="array" aca="1" ref="H273:I2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73" s="3">
        <f ca="1"/>
        <v>4.8313748001992611E-2</v>
      </c>
      <c r="L273" s="1">
        <f ca="1"/>
        <v>464476.4399779407</v>
      </c>
      <c r="N273">
        <f ca="1"/>
        <v>3589088.6674547344</v>
      </c>
    </row>
    <row r="274" spans="7:14" x14ac:dyDescent="0.3">
      <c r="G274">
        <v>270</v>
      </c>
      <c r="H274" s="2" cm="1">
        <f t="array" aca="1" ref="H274:I2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11718655.993952978</v>
      </c>
      <c r="I274" s="3">
        <f ca="1"/>
        <v>7.4805807587860512E-2</v>
      </c>
      <c r="L274" s="1">
        <f ca="1"/>
        <v>0</v>
      </c>
      <c r="N274">
        <f ca="1"/>
        <v>5411779.1038736375</v>
      </c>
    </row>
    <row r="275" spans="7:14" x14ac:dyDescent="0.3">
      <c r="G275">
        <v>271</v>
      </c>
      <c r="H275" s="2" cm="1">
        <f t="array" aca="1" ref="H275:I2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3740844.7012411267</v>
      </c>
      <c r="I275" s="3">
        <f ca="1"/>
        <v>6.328355148426576E-2</v>
      </c>
      <c r="L275" s="1">
        <f ca="1"/>
        <v>74883.886645596023</v>
      </c>
      <c r="N275">
        <f ca="1"/>
        <v>4763139.0450268723</v>
      </c>
    </row>
    <row r="276" spans="7:14" x14ac:dyDescent="0.3">
      <c r="G276">
        <v>272</v>
      </c>
      <c r="H276" s="2" cm="1">
        <f t="array" aca="1" ref="H276:I2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76" s="3">
        <f ca="1"/>
        <v>5.5730584151721342E-3</v>
      </c>
      <c r="L276" s="1">
        <f ca="1"/>
        <v>778327.06187004305</v>
      </c>
      <c r="N276">
        <f ca="1"/>
        <v>1613098.0643284009</v>
      </c>
    </row>
    <row r="277" spans="7:14" x14ac:dyDescent="0.3">
      <c r="G277">
        <v>273</v>
      </c>
      <c r="H277" s="2" cm="1">
        <f t="array" aca="1" ref="H277:I2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1487976.0004750113</v>
      </c>
      <c r="I277" s="3">
        <f ca="1"/>
        <v>4.3599813808164044E-2</v>
      </c>
      <c r="L277" s="1">
        <f ca="1"/>
        <v>7742435.3574550245</v>
      </c>
      <c r="N277">
        <f ca="1"/>
        <v>0</v>
      </c>
    </row>
    <row r="278" spans="7:14" x14ac:dyDescent="0.3">
      <c r="G278">
        <v>274</v>
      </c>
      <c r="H278" s="2" cm="1">
        <f t="array" aca="1" ref="H278:I2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4159232.7392198481</v>
      </c>
      <c r="I278" s="3">
        <f ca="1"/>
        <v>5.524855249480648E-2</v>
      </c>
      <c r="L278" s="1">
        <f ca="1"/>
        <v>4942661.6341623683</v>
      </c>
      <c r="N278">
        <f ca="1"/>
        <v>14928221.659051364</v>
      </c>
    </row>
    <row r="279" spans="7:14" x14ac:dyDescent="0.3">
      <c r="G279">
        <v>275</v>
      </c>
      <c r="H279" s="2" cm="1">
        <f t="array" aca="1" ref="H279:I2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5541528.382344095</v>
      </c>
      <c r="I279" s="3">
        <f ca="1"/>
        <v>8.0261402560296041E-2</v>
      </c>
      <c r="L279" s="1">
        <f ca="1"/>
        <v>8481502.7605862208</v>
      </c>
      <c r="N279">
        <f ca="1"/>
        <v>9195372.4539884385</v>
      </c>
    </row>
    <row r="280" spans="7:14" x14ac:dyDescent="0.3">
      <c r="G280">
        <v>276</v>
      </c>
      <c r="H280" s="2" cm="1">
        <f t="array" aca="1" ref="H280:I2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2651083.3104687613</v>
      </c>
      <c r="I280" s="3">
        <f ca="1"/>
        <v>4.8937941609184681E-2</v>
      </c>
      <c r="L280" s="1">
        <f ca="1"/>
        <v>6594892.599145541</v>
      </c>
      <c r="N280">
        <f ca="1"/>
        <v>5271187.5226201294</v>
      </c>
    </row>
    <row r="281" spans="7:14" x14ac:dyDescent="0.3">
      <c r="G281">
        <v>277</v>
      </c>
      <c r="H281" s="2" cm="1">
        <f t="array" aca="1" ref="H281:I2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6045963.6501009669</v>
      </c>
      <c r="I281" s="3">
        <f ca="1"/>
        <v>6.5667430884949154E-2</v>
      </c>
      <c r="L281" s="1">
        <f ca="1"/>
        <v>0</v>
      </c>
      <c r="N281">
        <f ca="1"/>
        <v>0</v>
      </c>
    </row>
    <row r="282" spans="7:14" x14ac:dyDescent="0.3">
      <c r="G282">
        <v>278</v>
      </c>
      <c r="H282" s="2" cm="1">
        <f t="array" aca="1" ref="H282:I2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5473763.1326216236</v>
      </c>
      <c r="I282" s="3">
        <f ca="1"/>
        <v>6.771311323246372E-2</v>
      </c>
      <c r="L282" s="1">
        <f ca="1"/>
        <v>1738723.1174497558</v>
      </c>
      <c r="N282">
        <f ca="1"/>
        <v>38848576.328355119</v>
      </c>
    </row>
    <row r="283" spans="7:14" x14ac:dyDescent="0.3">
      <c r="G283">
        <v>279</v>
      </c>
      <c r="H283" s="2" cm="1">
        <f t="array" aca="1" ref="H283:I2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4098901.9338580957</v>
      </c>
      <c r="I283" s="3">
        <f ca="1"/>
        <v>5.6087671515995016E-2</v>
      </c>
      <c r="L283" s="1">
        <f ca="1"/>
        <v>6684162.5392519552</v>
      </c>
      <c r="N283">
        <f ca="1"/>
        <v>1674977.1613519881</v>
      </c>
    </row>
    <row r="284" spans="7:14" x14ac:dyDescent="0.3">
      <c r="G284">
        <v>280</v>
      </c>
      <c r="H284" s="2" cm="1">
        <f t="array" aca="1" ref="H284:I2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21535668.516744997</v>
      </c>
      <c r="I284" s="3">
        <f ca="1"/>
        <v>9.5068244507447247E-2</v>
      </c>
      <c r="L284" s="1">
        <f ca="1"/>
        <v>3874868.1385075301</v>
      </c>
      <c r="N284">
        <f ca="1"/>
        <v>2478083.8259554775</v>
      </c>
    </row>
    <row r="285" spans="7:14" x14ac:dyDescent="0.3">
      <c r="G285">
        <v>281</v>
      </c>
      <c r="H285" s="2" cm="1">
        <f t="array" aca="1" ref="H285:I2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550199.28734939115</v>
      </c>
      <c r="I285" s="3">
        <f ca="1"/>
        <v>3.805384626323581E-2</v>
      </c>
      <c r="L285" s="1">
        <f ca="1"/>
        <v>671172.83132730483</v>
      </c>
      <c r="N285">
        <f ca="1"/>
        <v>0</v>
      </c>
    </row>
    <row r="286" spans="7:14" x14ac:dyDescent="0.3">
      <c r="G286">
        <v>282</v>
      </c>
      <c r="H286" s="2" cm="1">
        <f t="array" aca="1" ref="H286:I2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3615032.1054580733</v>
      </c>
      <c r="I286" s="3">
        <f ca="1"/>
        <v>5.1228409608022163E-2</v>
      </c>
      <c r="L286" s="1">
        <f ca="1"/>
        <v>0</v>
      </c>
      <c r="N286">
        <f ca="1"/>
        <v>4546177.1728725331</v>
      </c>
    </row>
    <row r="287" spans="7:14" x14ac:dyDescent="0.3">
      <c r="G287">
        <v>283</v>
      </c>
      <c r="H287" s="2" cm="1">
        <f t="array" aca="1" ref="H287:I2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844498.43041346024</v>
      </c>
      <c r="I287" s="3">
        <f ca="1"/>
        <v>5.362657627604317E-2</v>
      </c>
      <c r="L287" s="1">
        <f ca="1"/>
        <v>13798409.749605939</v>
      </c>
      <c r="N287">
        <f ca="1"/>
        <v>1121854.2532918646</v>
      </c>
    </row>
    <row r="288" spans="7:14" x14ac:dyDescent="0.3">
      <c r="G288">
        <v>284</v>
      </c>
      <c r="H288" s="2" cm="1">
        <f t="array" aca="1" ref="H288:I2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5442715.1111574927</v>
      </c>
      <c r="I288" s="3">
        <f ca="1"/>
        <v>7.395567040969965E-2</v>
      </c>
      <c r="L288" s="1">
        <f ca="1"/>
        <v>1978296.2669683406</v>
      </c>
      <c r="N288">
        <f ca="1"/>
        <v>2581266.8989601168</v>
      </c>
    </row>
    <row r="289" spans="7:14" x14ac:dyDescent="0.3">
      <c r="G289">
        <v>285</v>
      </c>
      <c r="H289" s="2" cm="1">
        <f t="array" aca="1" ref="H289:I2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7913662.0915466705</v>
      </c>
      <c r="I289" s="3">
        <f ca="1"/>
        <v>8.5527230525153292E-2</v>
      </c>
      <c r="L289" s="1">
        <f ca="1"/>
        <v>0</v>
      </c>
      <c r="N289">
        <f ca="1"/>
        <v>6745283.1385236187</v>
      </c>
    </row>
    <row r="290" spans="7:14" x14ac:dyDescent="0.3">
      <c r="G290">
        <v>286</v>
      </c>
      <c r="H290" s="2" cm="1">
        <f t="array" aca="1" ref="H290:I2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4122261.8356090607</v>
      </c>
      <c r="I290" s="3">
        <f ca="1"/>
        <v>5.5104846127302029E-2</v>
      </c>
      <c r="L290" s="1">
        <f ca="1"/>
        <v>1070417.7815934164</v>
      </c>
      <c r="N290">
        <f ca="1"/>
        <v>3326622.3998631728</v>
      </c>
    </row>
    <row r="291" spans="7:14" x14ac:dyDescent="0.3">
      <c r="G291">
        <v>287</v>
      </c>
      <c r="H291" s="2" cm="1">
        <f t="array" aca="1" ref="H291:I2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507789.14569133916</v>
      </c>
      <c r="I291" s="3">
        <f ca="1"/>
        <v>6.1509639677180671E-2</v>
      </c>
      <c r="L291" s="1">
        <f ca="1"/>
        <v>1399751.4443082234</v>
      </c>
      <c r="N291">
        <f ca="1"/>
        <v>24978636.145837437</v>
      </c>
    </row>
    <row r="292" spans="7:14" x14ac:dyDescent="0.3">
      <c r="G292">
        <v>288</v>
      </c>
      <c r="H292" s="2" cm="1">
        <f t="array" aca="1" ref="H292:I2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10271436.528636567</v>
      </c>
      <c r="I292" s="3">
        <f ca="1"/>
        <v>7.6550081831904537E-2</v>
      </c>
      <c r="L292" s="1">
        <f ca="1"/>
        <v>2357501.3241259512</v>
      </c>
      <c r="N292">
        <f ca="1"/>
        <v>12595117.55537839</v>
      </c>
    </row>
    <row r="293" spans="7:14" x14ac:dyDescent="0.3">
      <c r="G293">
        <v>289</v>
      </c>
      <c r="H293" s="2" cm="1">
        <f t="array" aca="1" ref="H293:I2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27563550.548035499</v>
      </c>
      <c r="I293" s="3">
        <f ca="1"/>
        <v>0.10005719118578141</v>
      </c>
      <c r="L293" s="1">
        <f ca="1"/>
        <v>0</v>
      </c>
      <c r="N293">
        <f ca="1"/>
        <v>0</v>
      </c>
    </row>
    <row r="294" spans="7:14" x14ac:dyDescent="0.3">
      <c r="G294">
        <v>290</v>
      </c>
      <c r="H294" s="2" cm="1">
        <f t="array" aca="1" ref="H294:I2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294" s="3">
        <f ca="1"/>
        <v>3.9515813354320792E-2</v>
      </c>
      <c r="L294" s="1">
        <f ca="1"/>
        <v>0</v>
      </c>
      <c r="N294">
        <f ca="1"/>
        <v>1594936.4190880926</v>
      </c>
    </row>
    <row r="295" spans="7:14" x14ac:dyDescent="0.3">
      <c r="G295">
        <v>291</v>
      </c>
      <c r="H295" s="2" cm="1">
        <f t="array" aca="1" ref="H295:I2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7924077.6920661312</v>
      </c>
      <c r="I295" s="3">
        <f ca="1"/>
        <v>6.5273029482405348E-2</v>
      </c>
      <c r="L295" s="1">
        <f ca="1"/>
        <v>6048025.2390053645</v>
      </c>
      <c r="N295">
        <f ca="1"/>
        <v>12629647.037015293</v>
      </c>
    </row>
    <row r="296" spans="7:14" x14ac:dyDescent="0.3">
      <c r="G296">
        <v>292</v>
      </c>
      <c r="H296" s="2" cm="1">
        <f t="array" aca="1" ref="H296:I2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522983.44437093858</v>
      </c>
      <c r="I296" s="3">
        <f ca="1"/>
        <v>4.4274486647826176E-2</v>
      </c>
      <c r="L296" s="1">
        <f ca="1"/>
        <v>4862739.3335251175</v>
      </c>
      <c r="N296">
        <f ca="1"/>
        <v>386347.06251034193</v>
      </c>
    </row>
    <row r="297" spans="7:14" x14ac:dyDescent="0.3">
      <c r="G297">
        <v>293</v>
      </c>
      <c r="H297" s="2" cm="1">
        <f t="array" aca="1" ref="H297:I2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4228508.9601704627</v>
      </c>
      <c r="I297" s="3">
        <f ca="1"/>
        <v>5.2040246210203568E-2</v>
      </c>
      <c r="L297" s="1">
        <f ca="1"/>
        <v>11433595.968347494</v>
      </c>
      <c r="N297">
        <f ca="1"/>
        <v>844278.25860429206</v>
      </c>
    </row>
    <row r="298" spans="7:14" x14ac:dyDescent="0.3">
      <c r="G298">
        <v>294</v>
      </c>
      <c r="H298" s="2" cm="1">
        <f t="array" aca="1" ref="H298:I2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986091.98905439139</v>
      </c>
      <c r="I298" s="3">
        <f ca="1"/>
        <v>4.7931555778394572E-2</v>
      </c>
      <c r="L298" s="1">
        <f ca="1"/>
        <v>1940473.7807643171</v>
      </c>
      <c r="N298">
        <f ca="1"/>
        <v>9140676.2907637116</v>
      </c>
    </row>
    <row r="299" spans="7:14" x14ac:dyDescent="0.3">
      <c r="G299">
        <v>295</v>
      </c>
      <c r="H299" s="2" cm="1">
        <f t="array" aca="1" ref="H299:I2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450578.15100817941</v>
      </c>
      <c r="I299" s="3">
        <f ca="1"/>
        <v>5.4557319761000388E-2</v>
      </c>
      <c r="L299" s="1">
        <f ca="1"/>
        <v>0</v>
      </c>
      <c r="N299">
        <f ca="1"/>
        <v>4697699.8487588568</v>
      </c>
    </row>
    <row r="300" spans="7:14" x14ac:dyDescent="0.3">
      <c r="G300">
        <v>296</v>
      </c>
      <c r="H300" s="2" cm="1">
        <f t="array" aca="1" ref="H300:I3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2119146.0781662627</v>
      </c>
      <c r="I300" s="3">
        <f ca="1"/>
        <v>6.3817245626299604E-2</v>
      </c>
      <c r="L300" s="1">
        <f ca="1"/>
        <v>5196510.23168761</v>
      </c>
      <c r="N300">
        <f ca="1"/>
        <v>8341844.3254946666</v>
      </c>
    </row>
    <row r="301" spans="7:14" x14ac:dyDescent="0.3">
      <c r="G301">
        <v>297</v>
      </c>
      <c r="H301" s="2" cm="1">
        <f t="array" aca="1" ref="H301:I3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2512667.3506201715</v>
      </c>
      <c r="I301" s="3">
        <f ca="1"/>
        <v>6.7954645636887384E-2</v>
      </c>
      <c r="L301" s="1">
        <f ca="1"/>
        <v>0</v>
      </c>
      <c r="N301">
        <f ca="1"/>
        <v>1861752.249891774</v>
      </c>
    </row>
    <row r="302" spans="7:14" x14ac:dyDescent="0.3">
      <c r="G302">
        <v>298</v>
      </c>
      <c r="H302" s="2" cm="1">
        <f t="array" aca="1" ref="H302:I3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454501.86441059574</v>
      </c>
      <c r="I302" s="3">
        <f ca="1"/>
        <v>2.6930644076233041E-2</v>
      </c>
      <c r="L302" s="1">
        <f ca="1"/>
        <v>57385143.87317124</v>
      </c>
      <c r="N302">
        <f ca="1"/>
        <v>0</v>
      </c>
    </row>
    <row r="303" spans="7:14" x14ac:dyDescent="0.3">
      <c r="G303">
        <v>299</v>
      </c>
      <c r="H303" s="2" cm="1">
        <f t="array" aca="1" ref="H303:I3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6092479.3052101312</v>
      </c>
      <c r="I303" s="3">
        <f ca="1"/>
        <v>7.7628708920063391E-2</v>
      </c>
      <c r="L303" s="1">
        <f ca="1"/>
        <v>3225527.3639955856</v>
      </c>
      <c r="N303">
        <f ca="1"/>
        <v>14164506.642981606</v>
      </c>
    </row>
    <row r="304" spans="7:14" x14ac:dyDescent="0.3">
      <c r="G304">
        <v>300</v>
      </c>
      <c r="H304" s="2" cm="1">
        <f t="array" aca="1" ref="H304:I3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1725619.8818450691</v>
      </c>
      <c r="I304" s="3">
        <f ca="1"/>
        <v>3.8427142533434648E-2</v>
      </c>
      <c r="L304" s="1">
        <f ca="1"/>
        <v>7561669.1514780372</v>
      </c>
      <c r="N304">
        <f ca="1"/>
        <v>4148310.6247268552</v>
      </c>
    </row>
    <row r="305" spans="7:14" x14ac:dyDescent="0.3">
      <c r="G305">
        <v>301</v>
      </c>
      <c r="H305" s="2" cm="1">
        <f t="array" aca="1" ref="H305:I3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05" s="3">
        <f ca="1"/>
        <v>2.0920526722743762E-2</v>
      </c>
      <c r="L305" s="1">
        <f ca="1"/>
        <v>939375.26403219881</v>
      </c>
      <c r="N305">
        <f ca="1"/>
        <v>2347544.6688417955</v>
      </c>
    </row>
    <row r="306" spans="7:14" x14ac:dyDescent="0.3">
      <c r="G306">
        <v>302</v>
      </c>
      <c r="H306" s="2" cm="1">
        <f t="array" aca="1" ref="H306:I3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3161315.2767971093</v>
      </c>
      <c r="I306" s="3">
        <f ca="1"/>
        <v>5.091878813683326E-2</v>
      </c>
      <c r="L306" s="1">
        <f ca="1"/>
        <v>845914.36833322747</v>
      </c>
      <c r="N306">
        <f ca="1"/>
        <v>0</v>
      </c>
    </row>
    <row r="307" spans="7:14" x14ac:dyDescent="0.3">
      <c r="G307">
        <v>303</v>
      </c>
      <c r="H307" s="2" cm="1">
        <f t="array" aca="1" ref="H307:I3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19029270.147648051</v>
      </c>
      <c r="I307" s="3">
        <f ca="1"/>
        <v>9.2709091691242113E-2</v>
      </c>
      <c r="L307" s="1">
        <f ca="1"/>
        <v>0</v>
      </c>
      <c r="N307">
        <f ca="1"/>
        <v>221631.87931784621</v>
      </c>
    </row>
    <row r="308" spans="7:14" x14ac:dyDescent="0.3">
      <c r="G308">
        <v>304</v>
      </c>
      <c r="H308" s="2" cm="1">
        <f t="array" aca="1" ref="H308:I3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1959329.7246615011</v>
      </c>
      <c r="I308" s="3">
        <f ca="1"/>
        <v>4.4147986485963152E-2</v>
      </c>
      <c r="L308" s="1">
        <f ca="1"/>
        <v>77849.015304399494</v>
      </c>
      <c r="N308">
        <f ca="1"/>
        <v>0</v>
      </c>
    </row>
    <row r="309" spans="7:14" x14ac:dyDescent="0.3">
      <c r="G309">
        <v>305</v>
      </c>
      <c r="H309" s="2" cm="1">
        <f t="array" aca="1" ref="H309:I3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6111466.0728605753</v>
      </c>
      <c r="I309" s="3">
        <f ca="1"/>
        <v>6.1909083106865562E-2</v>
      </c>
      <c r="L309" s="1">
        <f ca="1"/>
        <v>27007780.651404623</v>
      </c>
      <c r="N309">
        <f ca="1"/>
        <v>0</v>
      </c>
    </row>
    <row r="310" spans="7:14" x14ac:dyDescent="0.3">
      <c r="G310">
        <v>306</v>
      </c>
      <c r="H310" s="2" cm="1">
        <f t="array" aca="1" ref="H310:I3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1868189.8221978685</v>
      </c>
      <c r="I310" s="3">
        <f ca="1"/>
        <v>5.0808512461013276E-2</v>
      </c>
      <c r="L310" s="1">
        <f ca="1"/>
        <v>6025589.4068479771</v>
      </c>
      <c r="N310">
        <f ca="1"/>
        <v>0</v>
      </c>
    </row>
    <row r="311" spans="7:14" x14ac:dyDescent="0.3">
      <c r="G311">
        <v>307</v>
      </c>
      <c r="H311" s="2" cm="1">
        <f t="array" aca="1" ref="H311:I3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565040.45498237852</v>
      </c>
      <c r="I311" s="3">
        <f ca="1"/>
        <v>5.1384295271202141E-2</v>
      </c>
      <c r="L311" s="1">
        <f ca="1"/>
        <v>17777586.203590341</v>
      </c>
      <c r="N311">
        <f ca="1"/>
        <v>492939.40388802608</v>
      </c>
    </row>
    <row r="312" spans="7:14" x14ac:dyDescent="0.3">
      <c r="G312">
        <v>308</v>
      </c>
      <c r="H312" s="2" cm="1">
        <f t="array" aca="1" ref="H312:I3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13735395.338791499</v>
      </c>
      <c r="I312" s="3">
        <f ca="1"/>
        <v>9.6057832196224088E-2</v>
      </c>
      <c r="L312" s="1">
        <f ca="1"/>
        <v>9258569.1100223064</v>
      </c>
      <c r="N312">
        <f ca="1"/>
        <v>6920602.4079665365</v>
      </c>
    </row>
    <row r="313" spans="7:14" x14ac:dyDescent="0.3">
      <c r="G313">
        <v>309</v>
      </c>
      <c r="H313" s="2" cm="1">
        <f t="array" aca="1" ref="H313:I3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3852245.5611615381</v>
      </c>
      <c r="I313" s="3">
        <f ca="1"/>
        <v>5.6909324720023288E-2</v>
      </c>
      <c r="L313" s="1">
        <f ca="1"/>
        <v>8736390.5827736743</v>
      </c>
      <c r="N313">
        <f ca="1"/>
        <v>0</v>
      </c>
    </row>
    <row r="314" spans="7:14" x14ac:dyDescent="0.3">
      <c r="G314">
        <v>310</v>
      </c>
      <c r="H314" s="2" cm="1">
        <f t="array" aca="1" ref="H314:I3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692969.75556694437</v>
      </c>
      <c r="I314" s="3">
        <f ca="1"/>
        <v>4.3633380862109418E-2</v>
      </c>
      <c r="L314" s="1">
        <f ca="1"/>
        <v>2148530.288038977</v>
      </c>
      <c r="N314">
        <f ca="1"/>
        <v>11170545.381326355</v>
      </c>
    </row>
    <row r="315" spans="7:14" x14ac:dyDescent="0.3">
      <c r="G315">
        <v>311</v>
      </c>
      <c r="H315" s="2" cm="1">
        <f t="array" aca="1" ref="H315:I3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15" s="3">
        <f ca="1"/>
        <v>3.0026056405719113E-2</v>
      </c>
      <c r="L315" s="1">
        <f ca="1"/>
        <v>5735904.1075386601</v>
      </c>
      <c r="N315">
        <f ca="1"/>
        <v>0</v>
      </c>
    </row>
    <row r="316" spans="7:14" x14ac:dyDescent="0.3">
      <c r="G316">
        <v>312</v>
      </c>
      <c r="H316" s="2" cm="1">
        <f t="array" aca="1" ref="H316:I3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627803.08454901248</v>
      </c>
      <c r="I316" s="3">
        <f ca="1"/>
        <v>4.2163365571967738E-2</v>
      </c>
      <c r="L316" s="1">
        <f ca="1"/>
        <v>5033140.8803855516</v>
      </c>
      <c r="N316">
        <f ca="1"/>
        <v>0</v>
      </c>
    </row>
    <row r="317" spans="7:14" x14ac:dyDescent="0.3">
      <c r="G317">
        <v>313</v>
      </c>
      <c r="H317" s="2" cm="1">
        <f t="array" aca="1" ref="H317:I3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5864375.7455465952</v>
      </c>
      <c r="I317" s="3">
        <f ca="1"/>
        <v>6.3133181761404478E-2</v>
      </c>
      <c r="L317" s="1">
        <f ca="1"/>
        <v>1195678.986113573</v>
      </c>
      <c r="N317">
        <f ca="1"/>
        <v>25651263.096201457</v>
      </c>
    </row>
    <row r="318" spans="7:14" x14ac:dyDescent="0.3">
      <c r="G318">
        <v>314</v>
      </c>
      <c r="H318" s="2" cm="1">
        <f t="array" aca="1" ref="H318:I3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28300287.852304723</v>
      </c>
      <c r="I318" s="3">
        <f ca="1"/>
        <v>9.8189607698970921E-2</v>
      </c>
      <c r="L318" s="1">
        <f ca="1"/>
        <v>3620873.3011769499</v>
      </c>
      <c r="N318">
        <f ca="1"/>
        <v>24850973.194082759</v>
      </c>
    </row>
    <row r="319" spans="7:14" x14ac:dyDescent="0.3">
      <c r="G319">
        <v>315</v>
      </c>
      <c r="H319" s="2" cm="1">
        <f t="array" aca="1" ref="H319:I3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4017099.6492624776</v>
      </c>
      <c r="I319" s="3">
        <f ca="1"/>
        <v>6.5763299312133955E-2</v>
      </c>
      <c r="L319" s="1">
        <f ca="1"/>
        <v>45237031.249645829</v>
      </c>
      <c r="N319">
        <f ca="1"/>
        <v>0</v>
      </c>
    </row>
    <row r="320" spans="7:14" x14ac:dyDescent="0.3">
      <c r="G320">
        <v>316</v>
      </c>
      <c r="H320" s="2" cm="1">
        <f t="array" aca="1" ref="H320:I3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3232421.6102769305</v>
      </c>
      <c r="I320" s="3">
        <f ca="1"/>
        <v>5.6075948182866708E-2</v>
      </c>
      <c r="L320" s="1">
        <f ca="1"/>
        <v>0</v>
      </c>
      <c r="N320">
        <f ca="1"/>
        <v>2002512.6657716571</v>
      </c>
    </row>
    <row r="321" spans="7:14" x14ac:dyDescent="0.3">
      <c r="G321">
        <v>317</v>
      </c>
      <c r="H321" s="2" cm="1">
        <f t="array" aca="1" ref="H321:I3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840811.87400374666</v>
      </c>
      <c r="I321" s="3">
        <f ca="1"/>
        <v>6.2751031590188064E-2</v>
      </c>
      <c r="L321" s="1">
        <f ca="1"/>
        <v>3280149.0710800961</v>
      </c>
      <c r="N321">
        <f ca="1"/>
        <v>13180787.497991756</v>
      </c>
    </row>
    <row r="322" spans="7:14" x14ac:dyDescent="0.3">
      <c r="G322">
        <v>318</v>
      </c>
      <c r="H322" s="2" cm="1">
        <f t="array" aca="1" ref="H322:I3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6290825.8179344758</v>
      </c>
      <c r="I322" s="3">
        <f ca="1"/>
        <v>6.8148173530846082E-2</v>
      </c>
      <c r="L322" s="1">
        <f ca="1"/>
        <v>699977.58947037603</v>
      </c>
      <c r="N322">
        <f ca="1"/>
        <v>645508.63566786877</v>
      </c>
    </row>
    <row r="323" spans="7:14" x14ac:dyDescent="0.3">
      <c r="G323">
        <v>319</v>
      </c>
      <c r="H323" s="2" cm="1">
        <f t="array" aca="1" ref="H323:I3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12297787.461480834</v>
      </c>
      <c r="I323" s="3">
        <f ca="1"/>
        <v>8.8506467736116229E-2</v>
      </c>
      <c r="L323" s="1">
        <f ca="1"/>
        <v>6514776.1477797003</v>
      </c>
      <c r="N323">
        <f ca="1"/>
        <v>1092145.4220927816</v>
      </c>
    </row>
    <row r="324" spans="7:14" x14ac:dyDescent="0.3">
      <c r="G324">
        <v>320</v>
      </c>
      <c r="H324" s="2" cm="1">
        <f t="array" aca="1" ref="H324:I3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845088.52056518395</v>
      </c>
      <c r="I324" s="3">
        <f ca="1"/>
        <v>4.6851742689583344E-2</v>
      </c>
      <c r="L324" s="1">
        <f ca="1"/>
        <v>0</v>
      </c>
      <c r="N324">
        <f ca="1"/>
        <v>0</v>
      </c>
    </row>
    <row r="325" spans="7:14" x14ac:dyDescent="0.3">
      <c r="G325">
        <v>321</v>
      </c>
      <c r="H325" s="2" cm="1">
        <f t="array" aca="1" ref="H325:I3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20027086.246077541</v>
      </c>
      <c r="I325" s="3">
        <f ca="1"/>
        <v>9.015226646872411E-2</v>
      </c>
      <c r="L325" s="1">
        <f ca="1"/>
        <v>2871041.1577725303</v>
      </c>
      <c r="N325">
        <f ca="1"/>
        <v>228018.20161139074</v>
      </c>
    </row>
    <row r="326" spans="7:14" x14ac:dyDescent="0.3">
      <c r="G326">
        <v>322</v>
      </c>
      <c r="H326" s="2" cm="1">
        <f t="array" aca="1" ref="H326:I3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34862489.649381772</v>
      </c>
      <c r="I326" s="3">
        <f ca="1"/>
        <v>0.10141353704242377</v>
      </c>
      <c r="L326" s="1">
        <f ca="1"/>
        <v>0</v>
      </c>
      <c r="N326">
        <f ca="1"/>
        <v>0</v>
      </c>
    </row>
    <row r="327" spans="7:14" x14ac:dyDescent="0.3">
      <c r="G327">
        <v>323</v>
      </c>
      <c r="H327" s="2" cm="1">
        <f t="array" aca="1" ref="H327:I3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27" s="3">
        <f ca="1"/>
        <v>3.192117860042628E-2</v>
      </c>
      <c r="L327" s="1">
        <f ca="1"/>
        <v>36063637.092591695</v>
      </c>
      <c r="N327">
        <f ca="1"/>
        <v>5504364.5481098182</v>
      </c>
    </row>
    <row r="328" spans="7:14" x14ac:dyDescent="0.3">
      <c r="G328">
        <v>324</v>
      </c>
      <c r="H328" s="2" cm="1">
        <f t="array" aca="1" ref="H328:I3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3357558.0704948939</v>
      </c>
      <c r="I328" s="3">
        <f ca="1"/>
        <v>5.7488575436476917E-2</v>
      </c>
      <c r="L328" s="1">
        <f ca="1"/>
        <v>20148814.246863328</v>
      </c>
      <c r="N328">
        <f ca="1"/>
        <v>9508814.3959008791</v>
      </c>
    </row>
    <row r="329" spans="7:14" x14ac:dyDescent="0.3">
      <c r="G329">
        <v>325</v>
      </c>
      <c r="H329" s="2" cm="1">
        <f t="array" aca="1" ref="H329:I3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11089104.271699257</v>
      </c>
      <c r="I329" s="3">
        <f ca="1"/>
        <v>7.9979497477496664E-2</v>
      </c>
      <c r="L329" s="1">
        <f ca="1"/>
        <v>879778.57286050962</v>
      </c>
      <c r="N329">
        <f ca="1"/>
        <v>13147839.722851209</v>
      </c>
    </row>
    <row r="330" spans="7:14" x14ac:dyDescent="0.3">
      <c r="G330">
        <v>326</v>
      </c>
      <c r="H330" s="2" cm="1">
        <f t="array" aca="1" ref="H330:I3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1380548.2493779869</v>
      </c>
      <c r="I330" s="3">
        <f ca="1"/>
        <v>4.76136843003402E-2</v>
      </c>
      <c r="L330" s="1">
        <f ca="1"/>
        <v>10298133.616203707</v>
      </c>
      <c r="N330">
        <f ca="1"/>
        <v>2498410.9469980919</v>
      </c>
    </row>
    <row r="331" spans="7:14" x14ac:dyDescent="0.3">
      <c r="G331">
        <v>327</v>
      </c>
      <c r="H331" s="2" cm="1">
        <f t="array" aca="1" ref="H331:I3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4614783.3322028508</v>
      </c>
      <c r="I331" s="3">
        <f ca="1"/>
        <v>6.2241939318805506E-2</v>
      </c>
      <c r="L331" s="1">
        <f ca="1"/>
        <v>11822926.297088275</v>
      </c>
      <c r="N331">
        <f ca="1"/>
        <v>1301183.8252472226</v>
      </c>
    </row>
    <row r="332" spans="7:14" x14ac:dyDescent="0.3">
      <c r="G332">
        <v>328</v>
      </c>
      <c r="H332" s="2" cm="1">
        <f t="array" aca="1" ref="H332:I3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12671083.904993046</v>
      </c>
      <c r="I332" s="3">
        <f ca="1"/>
        <v>7.8787002832708411E-2</v>
      </c>
      <c r="L332" s="1">
        <f ca="1"/>
        <v>0</v>
      </c>
      <c r="N332">
        <f ca="1"/>
        <v>68225202.511213526</v>
      </c>
    </row>
    <row r="333" spans="7:14" x14ac:dyDescent="0.3">
      <c r="G333">
        <v>329</v>
      </c>
      <c r="H333" s="2" cm="1">
        <f t="array" aca="1" ref="H333:I3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6909799.5544751519</v>
      </c>
      <c r="I333" s="3">
        <f ca="1"/>
        <v>8.93410641596072E-2</v>
      </c>
      <c r="L333" s="1">
        <f ca="1"/>
        <v>2793941.2119689607</v>
      </c>
      <c r="N333">
        <f ca="1"/>
        <v>4508627.6821595049</v>
      </c>
    </row>
    <row r="334" spans="7:14" x14ac:dyDescent="0.3">
      <c r="G334">
        <v>330</v>
      </c>
      <c r="H334" s="2" cm="1">
        <f t="array" aca="1" ref="H334:I3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21218435.381954812</v>
      </c>
      <c r="I334" s="3">
        <f ca="1"/>
        <v>0.10202388177565427</v>
      </c>
      <c r="L334" s="1">
        <f ca="1"/>
        <v>0</v>
      </c>
      <c r="N334">
        <f ca="1"/>
        <v>0</v>
      </c>
    </row>
    <row r="335" spans="7:14" x14ac:dyDescent="0.3">
      <c r="G335">
        <v>331</v>
      </c>
      <c r="H335" s="2" cm="1">
        <f t="array" aca="1" ref="H335:I3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7375522.3748395871</v>
      </c>
      <c r="I335" s="3">
        <f ca="1"/>
        <v>7.5946407324747917E-2</v>
      </c>
      <c r="L335" s="1">
        <f ca="1"/>
        <v>0</v>
      </c>
      <c r="N335">
        <f ca="1"/>
        <v>4229424.101003712</v>
      </c>
    </row>
    <row r="336" spans="7:14" x14ac:dyDescent="0.3">
      <c r="G336">
        <v>332</v>
      </c>
      <c r="H336" s="2" cm="1">
        <f t="array" aca="1" ref="H336:I3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25720058.860137835</v>
      </c>
      <c r="I336" s="3">
        <f ca="1"/>
        <v>0.10032874095314948</v>
      </c>
      <c r="L336" s="1">
        <f ca="1"/>
        <v>82152680.262882158</v>
      </c>
      <c r="N336">
        <f ca="1"/>
        <v>92292.765021923537</v>
      </c>
    </row>
    <row r="337" spans="7:14" x14ac:dyDescent="0.3">
      <c r="G337">
        <v>333</v>
      </c>
      <c r="H337" s="2" cm="1">
        <f t="array" aca="1" ref="H337:I3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14445113.279449238</v>
      </c>
      <c r="I337" s="3">
        <f ca="1"/>
        <v>8.8216055116701692E-2</v>
      </c>
      <c r="L337" s="1">
        <f ca="1"/>
        <v>15252784.377895299</v>
      </c>
      <c r="N337">
        <f ca="1"/>
        <v>4604847.7798809865</v>
      </c>
    </row>
    <row r="338" spans="7:14" x14ac:dyDescent="0.3">
      <c r="G338">
        <v>334</v>
      </c>
      <c r="H338" s="2" cm="1">
        <f t="array" aca="1" ref="H338:I3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13949924.62378766</v>
      </c>
      <c r="I338" s="3">
        <f ca="1"/>
        <v>7.9730896418747477E-2</v>
      </c>
      <c r="L338" s="1">
        <f ca="1"/>
        <v>971802.75991002261</v>
      </c>
      <c r="N338">
        <f ca="1"/>
        <v>1562118.7481596414</v>
      </c>
    </row>
    <row r="339" spans="7:14" x14ac:dyDescent="0.3">
      <c r="G339">
        <v>335</v>
      </c>
      <c r="H339" s="2" cm="1">
        <f t="array" aca="1" ref="H339:I3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928577.21804688172</v>
      </c>
      <c r="I339" s="3">
        <f ca="1"/>
        <v>6.9936545964447178E-2</v>
      </c>
      <c r="L339" s="1">
        <f ca="1"/>
        <v>2614875.2944199336</v>
      </c>
      <c r="N339">
        <f ca="1"/>
        <v>6727821.544398576</v>
      </c>
    </row>
    <row r="340" spans="7:14" x14ac:dyDescent="0.3">
      <c r="G340">
        <v>336</v>
      </c>
      <c r="H340" s="2" cm="1">
        <f t="array" aca="1" ref="H340:I3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1470148.3383775221</v>
      </c>
      <c r="I340" s="3">
        <f ca="1"/>
        <v>5.3436548864305232E-2</v>
      </c>
      <c r="L340" s="1">
        <f ca="1"/>
        <v>1946130.3502644058</v>
      </c>
      <c r="N340">
        <f ca="1"/>
        <v>4668.5682295267325</v>
      </c>
    </row>
    <row r="341" spans="7:14" x14ac:dyDescent="0.3">
      <c r="G341">
        <v>337</v>
      </c>
      <c r="H341" s="2" cm="1">
        <f t="array" aca="1" ref="H341:I3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1729163.9656606016</v>
      </c>
      <c r="I341" s="3">
        <f ca="1"/>
        <v>5.2753649013868351E-2</v>
      </c>
      <c r="L341" s="1">
        <f ca="1"/>
        <v>0</v>
      </c>
      <c r="N341">
        <f ca="1"/>
        <v>32624609.074690387</v>
      </c>
    </row>
    <row r="342" spans="7:14" x14ac:dyDescent="0.3">
      <c r="G342">
        <v>338</v>
      </c>
      <c r="H342" s="2" cm="1">
        <f t="array" aca="1" ref="H342:I3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23239316.488385312</v>
      </c>
      <c r="I342" s="3">
        <f ca="1"/>
        <v>9.3854675928350756E-2</v>
      </c>
      <c r="L342" s="1">
        <f ca="1"/>
        <v>5013355.5361804236</v>
      </c>
      <c r="N342">
        <f ca="1"/>
        <v>0</v>
      </c>
    </row>
    <row r="343" spans="7:14" x14ac:dyDescent="0.3">
      <c r="G343">
        <v>339</v>
      </c>
      <c r="H343" s="2" cm="1">
        <f t="array" aca="1" ref="H343:I3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3116315.8373458451</v>
      </c>
      <c r="I343" s="3">
        <f ca="1"/>
        <v>6.3366610888146213E-2</v>
      </c>
      <c r="L343" s="1">
        <f ca="1"/>
        <v>10455252.838708105</v>
      </c>
      <c r="N343">
        <f ca="1"/>
        <v>5074360.0701051187</v>
      </c>
    </row>
    <row r="344" spans="7:14" x14ac:dyDescent="0.3">
      <c r="G344">
        <v>340</v>
      </c>
      <c r="H344" s="2" cm="1">
        <f t="array" aca="1" ref="H344:I3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6951595.0596413035</v>
      </c>
      <c r="I344" s="3">
        <f ca="1"/>
        <v>6.8763310823039256E-2</v>
      </c>
      <c r="L344" s="1">
        <f ca="1"/>
        <v>0</v>
      </c>
      <c r="N344">
        <f ca="1"/>
        <v>6192436.1756973108</v>
      </c>
    </row>
    <row r="345" spans="7:14" x14ac:dyDescent="0.3">
      <c r="G345">
        <v>341</v>
      </c>
      <c r="H345" s="2" cm="1">
        <f t="array" aca="1" ref="H345:I3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15755487.571370214</v>
      </c>
      <c r="I345" s="3">
        <f ca="1"/>
        <v>9.0982151831958166E-2</v>
      </c>
      <c r="L345" s="1">
        <f ca="1"/>
        <v>0</v>
      </c>
      <c r="N345">
        <f ca="1"/>
        <v>1493368.9753544622</v>
      </c>
    </row>
    <row r="346" spans="7:14" x14ac:dyDescent="0.3">
      <c r="G346">
        <v>342</v>
      </c>
      <c r="H346" s="2" cm="1">
        <f t="array" aca="1" ref="H346:I3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13044936.560357783</v>
      </c>
      <c r="I346" s="3">
        <f ca="1"/>
        <v>8.2049775168126921E-2</v>
      </c>
      <c r="L346" s="1">
        <f ca="1"/>
        <v>3355656.6942793592</v>
      </c>
      <c r="N346">
        <f ca="1"/>
        <v>0</v>
      </c>
    </row>
    <row r="347" spans="7:14" x14ac:dyDescent="0.3">
      <c r="G347">
        <v>343</v>
      </c>
      <c r="H347" s="2" cm="1">
        <f t="array" aca="1" ref="H347:I3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12538700.337920656</v>
      </c>
      <c r="I347" s="3">
        <f ca="1"/>
        <v>8.5293059915866443E-2</v>
      </c>
      <c r="L347" s="1">
        <f ca="1"/>
        <v>21587452.075670935</v>
      </c>
      <c r="N347">
        <f ca="1"/>
        <v>7262812.8232989106</v>
      </c>
    </row>
    <row r="348" spans="7:14" x14ac:dyDescent="0.3">
      <c r="G348">
        <v>344</v>
      </c>
      <c r="H348" s="2" cm="1">
        <f t="array" aca="1" ref="H348:I3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525483.28134692903</v>
      </c>
      <c r="I348" s="3">
        <f ca="1"/>
        <v>4.7202352414365795E-2</v>
      </c>
      <c r="L348" s="1">
        <f ca="1"/>
        <v>989819.48168475763</v>
      </c>
      <c r="N348">
        <f ca="1"/>
        <v>0</v>
      </c>
    </row>
    <row r="349" spans="7:14" x14ac:dyDescent="0.3">
      <c r="G349">
        <v>345</v>
      </c>
      <c r="H349" s="2" cm="1">
        <f t="array" aca="1" ref="H349:I3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813503.31992011447</v>
      </c>
      <c r="I349" s="3">
        <f ca="1"/>
        <v>7.4976555773992537E-2</v>
      </c>
      <c r="L349" s="1">
        <f ca="1"/>
        <v>0</v>
      </c>
      <c r="N349">
        <f ca="1"/>
        <v>3250476.560941237</v>
      </c>
    </row>
    <row r="350" spans="7:14" x14ac:dyDescent="0.3">
      <c r="G350">
        <v>346</v>
      </c>
      <c r="H350" s="2" cm="1">
        <f t="array" aca="1" ref="H350:I3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20548751.098561406</v>
      </c>
      <c r="I350" s="3">
        <f ca="1"/>
        <v>8.7850473144041513E-2</v>
      </c>
      <c r="L350" s="1">
        <f ca="1"/>
        <v>705596.58663653559</v>
      </c>
      <c r="N350">
        <f ca="1"/>
        <v>262598.38513873494</v>
      </c>
    </row>
    <row r="351" spans="7:14" x14ac:dyDescent="0.3">
      <c r="G351">
        <v>347</v>
      </c>
      <c r="H351" s="2" cm="1">
        <f t="array" aca="1" ref="H351:I3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51" s="3">
        <f ca="1"/>
        <v>3.403708160915251E-2</v>
      </c>
      <c r="L351" s="1">
        <f ca="1"/>
        <v>0</v>
      </c>
      <c r="N351">
        <f ca="1"/>
        <v>5149704.9474344356</v>
      </c>
    </row>
    <row r="352" spans="7:14" x14ac:dyDescent="0.3">
      <c r="G352">
        <v>348</v>
      </c>
      <c r="H352" s="2" cm="1">
        <f t="array" aca="1" ref="H352:I3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3647335.6887811315</v>
      </c>
      <c r="I352" s="3">
        <f ca="1"/>
        <v>5.9640720720029315E-2</v>
      </c>
      <c r="L352" s="1">
        <f ca="1"/>
        <v>13852675.721966924</v>
      </c>
      <c r="N352">
        <f ca="1"/>
        <v>0</v>
      </c>
    </row>
    <row r="353" spans="7:14" x14ac:dyDescent="0.3">
      <c r="G353">
        <v>349</v>
      </c>
      <c r="H353" s="2" cm="1">
        <f t="array" aca="1" ref="H353:I3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4969054.358495947</v>
      </c>
      <c r="I353" s="3">
        <f ca="1"/>
        <v>7.4401363614920488E-2</v>
      </c>
      <c r="L353" s="1">
        <f ca="1"/>
        <v>1489867.531029179</v>
      </c>
      <c r="N353">
        <f ca="1"/>
        <v>1757635.535467888</v>
      </c>
    </row>
    <row r="354" spans="7:14" x14ac:dyDescent="0.3">
      <c r="G354">
        <v>350</v>
      </c>
      <c r="H354" s="2" cm="1">
        <f t="array" aca="1" ref="H354:I3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18720150.843723983</v>
      </c>
      <c r="I354" s="3">
        <f ca="1"/>
        <v>8.5874254197559605E-2</v>
      </c>
      <c r="L354" s="1">
        <f ca="1"/>
        <v>1144805.2398662148</v>
      </c>
      <c r="N354">
        <f ca="1"/>
        <v>2189395.0555145284</v>
      </c>
    </row>
    <row r="355" spans="7:14" x14ac:dyDescent="0.3">
      <c r="G355">
        <v>351</v>
      </c>
      <c r="H355" s="2" cm="1">
        <f t="array" aca="1" ref="H355:I3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1186174.6862544711</v>
      </c>
      <c r="I355" s="3">
        <f ca="1"/>
        <v>5.5750423383939762E-2</v>
      </c>
      <c r="L355" s="1">
        <f ca="1"/>
        <v>1896083.1482336989</v>
      </c>
      <c r="N355">
        <f ca="1"/>
        <v>2316933.8913340708</v>
      </c>
    </row>
    <row r="356" spans="7:14" x14ac:dyDescent="0.3">
      <c r="G356">
        <v>352</v>
      </c>
      <c r="H356" s="2" cm="1">
        <f t="array" aca="1" ref="H356:I3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5696328.1635497632</v>
      </c>
      <c r="I356" s="3">
        <f ca="1"/>
        <v>9.08883596369887E-2</v>
      </c>
      <c r="L356" s="1">
        <f ca="1"/>
        <v>0</v>
      </c>
      <c r="N356">
        <f ca="1"/>
        <v>2295427.7720783157</v>
      </c>
    </row>
    <row r="357" spans="7:14" x14ac:dyDescent="0.3">
      <c r="G357">
        <v>353</v>
      </c>
      <c r="H357" s="2" cm="1">
        <f t="array" aca="1" ref="H357:I3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19088119.845703181</v>
      </c>
      <c r="I357" s="3">
        <f ca="1"/>
        <v>9.8411024180930534E-2</v>
      </c>
      <c r="L357" s="1">
        <f ca="1"/>
        <v>2697138.9455699441</v>
      </c>
      <c r="N357">
        <f ca="1"/>
        <v>4453305.220819843</v>
      </c>
    </row>
    <row r="358" spans="7:14" x14ac:dyDescent="0.3">
      <c r="G358">
        <v>354</v>
      </c>
      <c r="H358" s="2" cm="1">
        <f t="array" aca="1" ref="H358:I3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58" s="3">
        <f ca="1"/>
        <v>3.321163666726399E-2</v>
      </c>
      <c r="L358" s="1">
        <f ca="1"/>
        <v>745534.51957136067</v>
      </c>
      <c r="N358">
        <f ca="1"/>
        <v>16191547.385857489</v>
      </c>
    </row>
    <row r="359" spans="7:14" x14ac:dyDescent="0.3">
      <c r="G359">
        <v>355</v>
      </c>
      <c r="H359" s="2" cm="1">
        <f t="array" aca="1" ref="H359:I3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546614.37652133766</v>
      </c>
      <c r="I359" s="3">
        <f ca="1"/>
        <v>4.6883576491813607E-2</v>
      </c>
      <c r="L359" s="1">
        <f ca="1"/>
        <v>0</v>
      </c>
      <c r="N359">
        <f ca="1"/>
        <v>7227685.6169002131</v>
      </c>
    </row>
    <row r="360" spans="7:14" x14ac:dyDescent="0.3">
      <c r="G360">
        <v>356</v>
      </c>
      <c r="H360" s="2" cm="1">
        <f t="array" aca="1" ref="H360:I3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12060031.378032008</v>
      </c>
      <c r="I360" s="3">
        <f ca="1"/>
        <v>8.2301021107590064E-2</v>
      </c>
      <c r="L360" s="1">
        <f ca="1"/>
        <v>15536517.090640668</v>
      </c>
      <c r="N360">
        <f ca="1"/>
        <v>6546272.1456253696</v>
      </c>
    </row>
    <row r="361" spans="7:14" x14ac:dyDescent="0.3">
      <c r="G361">
        <v>357</v>
      </c>
      <c r="H361" s="2" cm="1">
        <f t="array" aca="1" ref="H361:I3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61" s="3">
        <f ca="1"/>
        <v>-3.0051230345483843E-3</v>
      </c>
      <c r="L361" s="1">
        <f ca="1"/>
        <v>209496.79023592378</v>
      </c>
      <c r="N361">
        <f ca="1"/>
        <v>5654967.9031032398</v>
      </c>
    </row>
    <row r="362" spans="7:14" x14ac:dyDescent="0.3">
      <c r="G362">
        <v>358</v>
      </c>
      <c r="H362" s="2" cm="1">
        <f t="array" aca="1" ref="H362:I3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1141781.1598170414</v>
      </c>
      <c r="I362" s="3">
        <f ca="1"/>
        <v>4.9060026141211799E-2</v>
      </c>
      <c r="L362" s="1">
        <f ca="1"/>
        <v>18096384.774640009</v>
      </c>
      <c r="N362">
        <f ca="1"/>
        <v>7590923.0829989789</v>
      </c>
    </row>
    <row r="363" spans="7:14" x14ac:dyDescent="0.3">
      <c r="G363">
        <v>359</v>
      </c>
      <c r="H363" s="2" cm="1">
        <f t="array" aca="1" ref="H363:I3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63" s="3">
        <f ca="1"/>
        <v>3.9741846588370752E-2</v>
      </c>
      <c r="L363" s="1">
        <f ca="1"/>
        <v>3886754.6658883635</v>
      </c>
      <c r="N363">
        <f ca="1"/>
        <v>24294914.15645656</v>
      </c>
    </row>
    <row r="364" spans="7:14" x14ac:dyDescent="0.3">
      <c r="G364">
        <v>360</v>
      </c>
      <c r="H364" s="2" cm="1">
        <f t="array" aca="1" ref="H364:I3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1063201.0244718313</v>
      </c>
      <c r="I364" s="3">
        <f ca="1"/>
        <v>2.9348495550342468E-2</v>
      </c>
      <c r="L364" s="1">
        <f ca="1"/>
        <v>6312229.4690188859</v>
      </c>
      <c r="N364">
        <f ca="1"/>
        <v>197131.82533373329</v>
      </c>
    </row>
    <row r="365" spans="7:14" x14ac:dyDescent="0.3">
      <c r="G365">
        <v>361</v>
      </c>
      <c r="H365" s="2" cm="1">
        <f t="array" aca="1" ref="H365:I3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19776314.374221738</v>
      </c>
      <c r="I365" s="3">
        <f ca="1"/>
        <v>8.8507571295116716E-2</v>
      </c>
      <c r="L365" s="1">
        <f ca="1"/>
        <v>2994219.9582485426</v>
      </c>
      <c r="N365">
        <f ca="1"/>
        <v>23131098.709614992</v>
      </c>
    </row>
    <row r="366" spans="7:14" x14ac:dyDescent="0.3">
      <c r="G366">
        <v>362</v>
      </c>
      <c r="H366" s="2" cm="1">
        <f t="array" aca="1" ref="H366:I3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3656855.5796338022</v>
      </c>
      <c r="I366" s="3">
        <f ca="1"/>
        <v>5.1510449101820122E-2</v>
      </c>
      <c r="L366" s="1">
        <f ca="1"/>
        <v>3489482.47714348</v>
      </c>
      <c r="N366">
        <f ca="1"/>
        <v>2047701.122027922</v>
      </c>
    </row>
    <row r="367" spans="7:14" x14ac:dyDescent="0.3">
      <c r="G367">
        <v>363</v>
      </c>
      <c r="H367" s="2" cm="1">
        <f t="array" aca="1" ref="H367:I3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67" s="3">
        <f ca="1"/>
        <v>4.6290153863670552E-2</v>
      </c>
      <c r="L367" s="1">
        <f ca="1"/>
        <v>8831871.5887782685</v>
      </c>
      <c r="N367">
        <f ca="1"/>
        <v>1527480.5271299018</v>
      </c>
    </row>
    <row r="368" spans="7:14" x14ac:dyDescent="0.3">
      <c r="G368">
        <v>364</v>
      </c>
      <c r="H368" s="2" cm="1">
        <f t="array" aca="1" ref="H368:I3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17179661.113154002</v>
      </c>
      <c r="I368" s="3">
        <f ca="1"/>
        <v>9.4132857233708928E-2</v>
      </c>
      <c r="L368" s="1">
        <f ca="1"/>
        <v>21791965.335395761</v>
      </c>
      <c r="N368">
        <f ca="1"/>
        <v>1378119.3979996082</v>
      </c>
    </row>
    <row r="369" spans="7:14" x14ac:dyDescent="0.3">
      <c r="G369">
        <v>365</v>
      </c>
      <c r="H369" s="2" cm="1">
        <f t="array" aca="1" ref="H369:I3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6680153.139619221</v>
      </c>
      <c r="I369" s="3">
        <f ca="1"/>
        <v>6.8786531185069694E-2</v>
      </c>
      <c r="L369" s="1">
        <f ca="1"/>
        <v>56517503.119263031</v>
      </c>
      <c r="N369">
        <f ca="1"/>
        <v>726646.00050009519</v>
      </c>
    </row>
    <row r="370" spans="7:14" x14ac:dyDescent="0.3">
      <c r="G370">
        <v>366</v>
      </c>
      <c r="H370" s="2" cm="1">
        <f t="array" aca="1" ref="H370:I3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8639672.1714985687</v>
      </c>
      <c r="I370" s="3">
        <f ca="1"/>
        <v>6.8286058643388353E-2</v>
      </c>
      <c r="L370" s="1">
        <f ca="1"/>
        <v>730487.97924836935</v>
      </c>
      <c r="N370">
        <f ca="1"/>
        <v>9394102.4402986486</v>
      </c>
    </row>
    <row r="371" spans="7:14" x14ac:dyDescent="0.3">
      <c r="G371">
        <v>367</v>
      </c>
      <c r="H371" s="2" cm="1">
        <f t="array" aca="1" ref="H371:I3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1008876.233900836</v>
      </c>
      <c r="I371" s="3">
        <f ca="1"/>
        <v>4.4947820620096418E-2</v>
      </c>
      <c r="L371" s="1">
        <f ca="1"/>
        <v>914511.74296454969</v>
      </c>
      <c r="N371">
        <f ca="1"/>
        <v>2907402.6095260112</v>
      </c>
    </row>
    <row r="372" spans="7:14" x14ac:dyDescent="0.3">
      <c r="G372">
        <v>368</v>
      </c>
      <c r="H372" s="2" cm="1">
        <f t="array" aca="1" ref="H372:I3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72" s="3">
        <f ca="1"/>
        <v>5.6390907995400828E-2</v>
      </c>
      <c r="L372" s="1">
        <f ca="1"/>
        <v>1207084.2501135499</v>
      </c>
      <c r="N372">
        <f ca="1"/>
        <v>12528100.153322626</v>
      </c>
    </row>
    <row r="373" spans="7:14" x14ac:dyDescent="0.3">
      <c r="G373">
        <v>369</v>
      </c>
      <c r="H373" s="2" cm="1">
        <f t="array" aca="1" ref="H373:I3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8309644.9567732783</v>
      </c>
      <c r="I373" s="3">
        <f ca="1"/>
        <v>7.9388454884958881E-2</v>
      </c>
      <c r="L373" s="1">
        <f ca="1"/>
        <v>11042634.128919002</v>
      </c>
      <c r="N373">
        <f ca="1"/>
        <v>15220338.549695056</v>
      </c>
    </row>
    <row r="374" spans="7:14" x14ac:dyDescent="0.3">
      <c r="G374">
        <v>370</v>
      </c>
      <c r="H374" s="2" cm="1">
        <f t="array" aca="1" ref="H374:I3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74" s="3">
        <f ca="1"/>
        <v>5.466546454024411E-2</v>
      </c>
      <c r="L374" s="1">
        <f ca="1"/>
        <v>26248518.216020834</v>
      </c>
      <c r="N374">
        <f ca="1"/>
        <v>13878020.309413292</v>
      </c>
    </row>
    <row r="375" spans="7:14" x14ac:dyDescent="0.3">
      <c r="G375">
        <v>371</v>
      </c>
      <c r="H375" s="2" cm="1">
        <f t="array" aca="1" ref="H375:I3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3111996.086789221</v>
      </c>
      <c r="I375" s="3">
        <f ca="1"/>
        <v>6.3279673095873318E-2</v>
      </c>
      <c r="L375" s="1">
        <f ca="1"/>
        <v>15025375.298812503</v>
      </c>
      <c r="N375">
        <f ca="1"/>
        <v>4335493.6262123343</v>
      </c>
    </row>
    <row r="376" spans="7:14" x14ac:dyDescent="0.3">
      <c r="G376">
        <v>372</v>
      </c>
      <c r="H376" s="2" cm="1">
        <f t="array" aca="1" ref="H376:I3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10534861.103061253</v>
      </c>
      <c r="I376" s="3">
        <f ca="1"/>
        <v>7.156098288052945E-2</v>
      </c>
      <c r="L376" s="1">
        <f ca="1"/>
        <v>35442302.87944258</v>
      </c>
      <c r="N376">
        <f ca="1"/>
        <v>5768887.2665601764</v>
      </c>
    </row>
    <row r="377" spans="7:14" x14ac:dyDescent="0.3">
      <c r="G377">
        <v>373</v>
      </c>
      <c r="H377" s="2" cm="1">
        <f t="array" aca="1" ref="H377:I3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21188009.032270294</v>
      </c>
      <c r="I377" s="3">
        <f ca="1"/>
        <v>9.3950177340547697E-2</v>
      </c>
      <c r="L377" s="1">
        <f ca="1"/>
        <v>134628.06370558636</v>
      </c>
      <c r="N377">
        <f ca="1"/>
        <v>4964598.1634816648</v>
      </c>
    </row>
    <row r="378" spans="7:14" x14ac:dyDescent="0.3">
      <c r="G378">
        <v>374</v>
      </c>
      <c r="H378" s="2" cm="1">
        <f t="array" aca="1" ref="H378:I3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1060486.3736756183</v>
      </c>
      <c r="I378" s="3">
        <f ca="1"/>
        <v>5.0729792133935282E-2</v>
      </c>
      <c r="L378" s="1">
        <f ca="1"/>
        <v>59036934.878825173</v>
      </c>
      <c r="N378">
        <f ca="1"/>
        <v>17630745.230373729</v>
      </c>
    </row>
    <row r="379" spans="7:14" x14ac:dyDescent="0.3">
      <c r="G379">
        <v>375</v>
      </c>
      <c r="H379" s="2" cm="1">
        <f t="array" aca="1" ref="H379:I3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8355091.862278562</v>
      </c>
      <c r="I379" s="3">
        <f ca="1"/>
        <v>7.3098074860098936E-2</v>
      </c>
      <c r="L379" s="1">
        <f ca="1"/>
        <v>4910985.9379656799</v>
      </c>
      <c r="N379">
        <f ca="1"/>
        <v>1865184.1427837904</v>
      </c>
    </row>
    <row r="380" spans="7:14" x14ac:dyDescent="0.3">
      <c r="G380">
        <v>376</v>
      </c>
      <c r="H380" s="2" cm="1">
        <f t="array" aca="1" ref="H380:I3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80" s="3">
        <f ca="1"/>
        <v>4.577782343583138E-2</v>
      </c>
      <c r="L380" s="1">
        <f ca="1"/>
        <v>3797421.0743597797</v>
      </c>
      <c r="N380">
        <f ca="1"/>
        <v>1351045.6254804637</v>
      </c>
    </row>
    <row r="381" spans="7:14" x14ac:dyDescent="0.3">
      <c r="G381">
        <v>377</v>
      </c>
      <c r="H381" s="2" cm="1">
        <f t="array" aca="1" ref="H381:I3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81" s="3">
        <f ca="1"/>
        <v>7.834544875842956E-3</v>
      </c>
      <c r="L381" s="1">
        <f ca="1"/>
        <v>0</v>
      </c>
      <c r="N381">
        <f ca="1"/>
        <v>0</v>
      </c>
    </row>
    <row r="382" spans="7:14" x14ac:dyDescent="0.3">
      <c r="G382">
        <v>378</v>
      </c>
      <c r="H382" s="2" cm="1">
        <f t="array" aca="1" ref="H382:I3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5255964.4990570992</v>
      </c>
      <c r="I382" s="3">
        <f ca="1"/>
        <v>6.9550787801071268E-2</v>
      </c>
      <c r="L382" s="1">
        <f ca="1"/>
        <v>66350266.441101901</v>
      </c>
      <c r="N382">
        <f ca="1"/>
        <v>3398451.0728942882</v>
      </c>
    </row>
    <row r="383" spans="7:14" x14ac:dyDescent="0.3">
      <c r="G383">
        <v>379</v>
      </c>
      <c r="H383" s="2" cm="1">
        <f t="array" aca="1" ref="H383:I3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7592041.4909864245</v>
      </c>
      <c r="I383" s="3">
        <f ca="1"/>
        <v>7.0116616066515924E-2</v>
      </c>
      <c r="L383" s="1">
        <f ca="1"/>
        <v>1016977.6080429095</v>
      </c>
      <c r="N383">
        <f ca="1"/>
        <v>9803310.3712052573</v>
      </c>
    </row>
    <row r="384" spans="7:14" x14ac:dyDescent="0.3">
      <c r="G384">
        <v>380</v>
      </c>
      <c r="H384" s="2" cm="1">
        <f t="array" aca="1" ref="H384:I3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8058719.9656333346</v>
      </c>
      <c r="I384" s="3">
        <f ca="1"/>
        <v>6.8518138746938628E-2</v>
      </c>
      <c r="L384" s="1">
        <f ca="1"/>
        <v>0</v>
      </c>
      <c r="N384">
        <f ca="1"/>
        <v>7064872.9357477445</v>
      </c>
    </row>
    <row r="385" spans="7:14" x14ac:dyDescent="0.3">
      <c r="G385">
        <v>381</v>
      </c>
      <c r="H385" s="2" cm="1">
        <f t="array" aca="1" ref="H385:I3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20469275.248128213</v>
      </c>
      <c r="I385" s="3">
        <f ca="1"/>
        <v>9.1309824642345397E-2</v>
      </c>
      <c r="L385" s="1">
        <f ca="1"/>
        <v>2459541.1816987041</v>
      </c>
      <c r="N385">
        <f ca="1"/>
        <v>309442.89970869495</v>
      </c>
    </row>
    <row r="386" spans="7:14" x14ac:dyDescent="0.3">
      <c r="G386">
        <v>382</v>
      </c>
      <c r="H386" s="2" cm="1">
        <f t="array" aca="1" ref="H386:I3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501823.02687507053</v>
      </c>
      <c r="I386" s="3">
        <f ca="1"/>
        <v>4.5090830615620754E-2</v>
      </c>
      <c r="L386" s="1">
        <f ca="1"/>
        <v>37008430.268577725</v>
      </c>
      <c r="N386">
        <f ca="1"/>
        <v>22377694.666220747</v>
      </c>
    </row>
    <row r="387" spans="7:14" x14ac:dyDescent="0.3">
      <c r="G387">
        <v>383</v>
      </c>
      <c r="H387" s="2" cm="1">
        <f t="array" aca="1" ref="H387:I3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87" s="3">
        <f ca="1"/>
        <v>6.2519888283496902E-2</v>
      </c>
      <c r="L387" s="1">
        <f ca="1"/>
        <v>27769484.731377043</v>
      </c>
      <c r="N387">
        <f ca="1"/>
        <v>5533836.9567571729</v>
      </c>
    </row>
    <row r="388" spans="7:14" x14ac:dyDescent="0.3">
      <c r="G388">
        <v>384</v>
      </c>
      <c r="H388" s="2" cm="1">
        <f t="array" aca="1" ref="H388:I3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88" s="3">
        <f ca="1"/>
        <v>3.6242406518322813E-2</v>
      </c>
      <c r="L388" s="1">
        <f ca="1"/>
        <v>8391917.8245705161</v>
      </c>
      <c r="N388">
        <f ca="1"/>
        <v>6741686.8427909389</v>
      </c>
    </row>
    <row r="389" spans="7:14" x14ac:dyDescent="0.3">
      <c r="G389">
        <v>385</v>
      </c>
      <c r="H389" s="2" cm="1">
        <f t="array" aca="1" ref="H389:I3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5053959.8036490716</v>
      </c>
      <c r="I389" s="3">
        <f ca="1"/>
        <v>5.8563206708765234E-2</v>
      </c>
      <c r="L389" s="1">
        <f ca="1"/>
        <v>3640610.8764046375</v>
      </c>
      <c r="N389">
        <f ca="1"/>
        <v>13805533.61455486</v>
      </c>
    </row>
    <row r="390" spans="7:14" x14ac:dyDescent="0.3">
      <c r="G390">
        <v>386</v>
      </c>
      <c r="H390" s="2" cm="1">
        <f t="array" aca="1" ref="H390:I3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25729796.224802721</v>
      </c>
      <c r="I390" s="3">
        <f ca="1"/>
        <v>9.6321891062356169E-2</v>
      </c>
      <c r="L390" s="1">
        <f ca="1"/>
        <v>1370341.000871947</v>
      </c>
      <c r="N390">
        <f ca="1"/>
        <v>10404140.885443911</v>
      </c>
    </row>
    <row r="391" spans="7:14" x14ac:dyDescent="0.3">
      <c r="G391">
        <v>387</v>
      </c>
      <c r="H391" s="2" cm="1">
        <f t="array" aca="1" ref="H391:I3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16170851.732006367</v>
      </c>
      <c r="I391" s="3">
        <f ca="1"/>
        <v>8.5789437147329145E-2</v>
      </c>
      <c r="L391" s="1">
        <f ca="1"/>
        <v>4384782.3258235967</v>
      </c>
      <c r="N391">
        <f ca="1"/>
        <v>22460463.741764743</v>
      </c>
    </row>
    <row r="392" spans="7:14" x14ac:dyDescent="0.3">
      <c r="G392">
        <v>388</v>
      </c>
      <c r="H392" s="2" cm="1">
        <f t="array" aca="1" ref="H392:I3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92" s="3">
        <f ca="1"/>
        <v>4.0609695510570254E-2</v>
      </c>
      <c r="L392" s="1">
        <f ca="1"/>
        <v>0</v>
      </c>
      <c r="N392">
        <f ca="1"/>
        <v>13490547.436898179</v>
      </c>
    </row>
    <row r="393" spans="7:14" x14ac:dyDescent="0.3">
      <c r="G393">
        <v>389</v>
      </c>
      <c r="H393" s="2" cm="1">
        <f t="array" aca="1" ref="H393:I3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12468712.125356844</v>
      </c>
      <c r="I393" s="3">
        <f ca="1"/>
        <v>7.7096528143126869E-2</v>
      </c>
      <c r="L393" s="1">
        <f ca="1"/>
        <v>1458861.2449348441</v>
      </c>
      <c r="N393">
        <f ca="1"/>
        <v>757534.0857495789</v>
      </c>
    </row>
    <row r="394" spans="7:14" x14ac:dyDescent="0.3">
      <c r="G394">
        <v>390</v>
      </c>
      <c r="H394" s="2" cm="1">
        <f t="array" aca="1" ref="H394:I3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94" s="3">
        <f ca="1"/>
        <v>4.1673321772624249E-2</v>
      </c>
      <c r="L394" s="1">
        <f ca="1"/>
        <v>17486808.26908721</v>
      </c>
      <c r="N394">
        <f ca="1"/>
        <v>4270604.9356620843</v>
      </c>
    </row>
    <row r="395" spans="7:14" x14ac:dyDescent="0.3">
      <c r="G395">
        <v>391</v>
      </c>
      <c r="H395" s="2" cm="1">
        <f t="array" aca="1" ref="H395:I3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5165596.3074976858</v>
      </c>
      <c r="I395" s="3">
        <f ca="1"/>
        <v>6.1355334334542468E-2</v>
      </c>
      <c r="L395" s="1">
        <f ca="1"/>
        <v>30327279.754266266</v>
      </c>
      <c r="N395">
        <f ca="1"/>
        <v>0</v>
      </c>
    </row>
    <row r="396" spans="7:14" x14ac:dyDescent="0.3">
      <c r="G396">
        <v>392</v>
      </c>
      <c r="H396" s="2" cm="1">
        <f t="array" aca="1" ref="H396:I3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96" s="3">
        <f ca="1"/>
        <v>4.5096320746567681E-3</v>
      </c>
      <c r="L396" s="1">
        <f ca="1"/>
        <v>5212992.9304838823</v>
      </c>
      <c r="N396">
        <f ca="1"/>
        <v>4418237.5993853332</v>
      </c>
    </row>
    <row r="397" spans="7:14" x14ac:dyDescent="0.3">
      <c r="G397">
        <v>393</v>
      </c>
      <c r="H397" s="2" cm="1">
        <f t="array" aca="1" ref="H397:I3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397" s="3">
        <f ca="1"/>
        <v>7.268008049768368E-2</v>
      </c>
      <c r="L397" s="1">
        <f ca="1"/>
        <v>15551781.669727618</v>
      </c>
      <c r="N397">
        <f ca="1"/>
        <v>247792.78791178355</v>
      </c>
    </row>
    <row r="398" spans="7:14" x14ac:dyDescent="0.3">
      <c r="G398">
        <v>394</v>
      </c>
      <c r="H398" s="2" cm="1">
        <f t="array" aca="1" ref="H398:I3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15368835.83965718</v>
      </c>
      <c r="I398" s="3">
        <f ca="1"/>
        <v>9.9588048588607175E-2</v>
      </c>
      <c r="L398" s="1">
        <f ca="1"/>
        <v>37046094.341926888</v>
      </c>
      <c r="N398">
        <f ca="1"/>
        <v>0</v>
      </c>
    </row>
    <row r="399" spans="7:14" x14ac:dyDescent="0.3">
      <c r="G399">
        <v>395</v>
      </c>
      <c r="H399" s="2" cm="1">
        <f t="array" aca="1" ref="H399:I3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3621842.2723947563</v>
      </c>
      <c r="I399" s="3">
        <f ca="1"/>
        <v>5.401082940561177E-2</v>
      </c>
      <c r="L399" s="1">
        <f ca="1"/>
        <v>3452396.142145209</v>
      </c>
      <c r="N399">
        <f ca="1"/>
        <v>55442915.626201965</v>
      </c>
    </row>
    <row r="400" spans="7:14" x14ac:dyDescent="0.3">
      <c r="G400">
        <v>396</v>
      </c>
      <c r="H400" s="2" cm="1">
        <f t="array" aca="1" ref="H400:I4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1552337.9146693407</v>
      </c>
      <c r="I400" s="3">
        <f ca="1"/>
        <v>5.3033431694452716E-2</v>
      </c>
      <c r="L400" s="1">
        <f ca="1"/>
        <v>7173858.6393808369</v>
      </c>
      <c r="N400">
        <f ca="1"/>
        <v>1602933.415055413</v>
      </c>
    </row>
    <row r="401" spans="7:14" x14ac:dyDescent="0.3">
      <c r="G401">
        <v>397</v>
      </c>
      <c r="H401" s="2" cm="1">
        <f t="array" aca="1" ref="H401:I4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1362690.0053048159</v>
      </c>
      <c r="I401" s="3">
        <f ca="1"/>
        <v>3.8209502123401809E-2</v>
      </c>
      <c r="L401" s="1">
        <f ca="1"/>
        <v>5214816.9010357317</v>
      </c>
      <c r="N401">
        <f ca="1"/>
        <v>5520614.5645901179</v>
      </c>
    </row>
    <row r="402" spans="7:14" x14ac:dyDescent="0.3">
      <c r="G402">
        <v>398</v>
      </c>
      <c r="H402" s="2" cm="1">
        <f t="array" aca="1" ref="H402:I4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02" s="3">
        <f ca="1"/>
        <v>3.7840330384260483E-2</v>
      </c>
      <c r="L402" s="1">
        <f ca="1"/>
        <v>453033.34692029021</v>
      </c>
      <c r="N402">
        <f ca="1"/>
        <v>15986898.762026673</v>
      </c>
    </row>
    <row r="403" spans="7:14" x14ac:dyDescent="0.3">
      <c r="G403">
        <v>399</v>
      </c>
      <c r="H403" s="2" cm="1">
        <f t="array" aca="1" ref="H403:I4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13535076.098515801</v>
      </c>
      <c r="I403" s="3">
        <f ca="1"/>
        <v>8.0520029027335974E-2</v>
      </c>
      <c r="L403" s="1">
        <f ca="1"/>
        <v>599581.31569503725</v>
      </c>
      <c r="N403">
        <f ca="1"/>
        <v>10544582.891822211</v>
      </c>
    </row>
    <row r="404" spans="7:14" x14ac:dyDescent="0.3">
      <c r="G404">
        <v>400</v>
      </c>
      <c r="H404" s="2" cm="1">
        <f t="array" aca="1" ref="H404:I4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04" s="3">
        <f ca="1"/>
        <v>1.2631063787849981E-2</v>
      </c>
      <c r="L404" s="1">
        <f ca="1"/>
        <v>998048.72879606206</v>
      </c>
      <c r="N404">
        <f ca="1"/>
        <v>11749191.647333309</v>
      </c>
    </row>
    <row r="405" spans="7:14" x14ac:dyDescent="0.3">
      <c r="G405">
        <v>401</v>
      </c>
      <c r="H405" s="2" cm="1">
        <f t="array" aca="1" ref="H405:I4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6433156.766545387</v>
      </c>
      <c r="I405" s="3">
        <f ca="1"/>
        <v>6.5935577915547383E-2</v>
      </c>
      <c r="L405" s="1">
        <f ca="1"/>
        <v>4230635.6080385</v>
      </c>
      <c r="N405">
        <f ca="1"/>
        <v>2869369.6341104382</v>
      </c>
    </row>
    <row r="406" spans="7:14" x14ac:dyDescent="0.3">
      <c r="G406">
        <v>402</v>
      </c>
      <c r="H406" s="2" cm="1">
        <f t="array" aca="1" ref="H406:I4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2073035.8204496857</v>
      </c>
      <c r="I406" s="3">
        <f ca="1"/>
        <v>5.8230524667995463E-2</v>
      </c>
      <c r="L406" s="1">
        <f ca="1"/>
        <v>0</v>
      </c>
      <c r="N406">
        <f ca="1"/>
        <v>10901045.830073539</v>
      </c>
    </row>
    <row r="407" spans="7:14" x14ac:dyDescent="0.3">
      <c r="G407">
        <v>403</v>
      </c>
      <c r="H407" s="2" cm="1">
        <f t="array" aca="1" ref="H407:I4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6779847.7365215765</v>
      </c>
      <c r="I407" s="3">
        <f ca="1"/>
        <v>7.0798283199010034E-2</v>
      </c>
      <c r="L407" s="1">
        <f ca="1"/>
        <v>1346002.6083344638</v>
      </c>
      <c r="N407">
        <f ca="1"/>
        <v>7105273.6935237655</v>
      </c>
    </row>
    <row r="408" spans="7:14" x14ac:dyDescent="0.3">
      <c r="G408">
        <v>404</v>
      </c>
      <c r="H408" s="2" cm="1">
        <f t="array" aca="1" ref="H408:I4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1112218.8519389662</v>
      </c>
      <c r="I408" s="3">
        <f ca="1"/>
        <v>3.7060813365596815E-2</v>
      </c>
      <c r="L408" s="1">
        <f ca="1"/>
        <v>0</v>
      </c>
      <c r="N408">
        <f ca="1"/>
        <v>1147945.861407117</v>
      </c>
    </row>
    <row r="409" spans="7:14" x14ac:dyDescent="0.3">
      <c r="G409">
        <v>405</v>
      </c>
      <c r="H409" s="2" cm="1">
        <f t="array" aca="1" ref="H409:I4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10817691.277029399</v>
      </c>
      <c r="I409" s="3">
        <f ca="1"/>
        <v>8.1210370153705955E-2</v>
      </c>
      <c r="L409" s="1">
        <f ca="1"/>
        <v>1873470.1428504952</v>
      </c>
      <c r="N409">
        <f ca="1"/>
        <v>4697176.2676355904</v>
      </c>
    </row>
    <row r="410" spans="7:14" x14ac:dyDescent="0.3">
      <c r="G410">
        <v>406</v>
      </c>
      <c r="H410" s="2" cm="1">
        <f t="array" aca="1" ref="H410:I4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10" s="3">
        <f ca="1"/>
        <v>2.2232465655979767E-2</v>
      </c>
      <c r="L410" s="1">
        <f ca="1"/>
        <v>0</v>
      </c>
      <c r="N410">
        <f ca="1"/>
        <v>1188934.4132991787</v>
      </c>
    </row>
    <row r="411" spans="7:14" x14ac:dyDescent="0.3">
      <c r="G411">
        <v>407</v>
      </c>
      <c r="H411" s="2" cm="1">
        <f t="array" aca="1" ref="H411:I4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204359.23637021883</v>
      </c>
      <c r="I411" s="3">
        <f ca="1"/>
        <v>3.147638091557646E-2</v>
      </c>
      <c r="L411" s="1">
        <f ca="1"/>
        <v>40490395.796506211</v>
      </c>
      <c r="N411">
        <f ca="1"/>
        <v>3794596.638032658</v>
      </c>
    </row>
    <row r="412" spans="7:14" x14ac:dyDescent="0.3">
      <c r="G412">
        <v>408</v>
      </c>
      <c r="H412" s="2" cm="1">
        <f t="array" aca="1" ref="H412:I4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3082553.7104929383</v>
      </c>
      <c r="I412" s="3">
        <f ca="1"/>
        <v>5.5085820584071798E-2</v>
      </c>
      <c r="L412" s="1">
        <f ca="1"/>
        <v>0</v>
      </c>
      <c r="N412">
        <f ca="1"/>
        <v>9086625.5974653699</v>
      </c>
    </row>
    <row r="413" spans="7:14" x14ac:dyDescent="0.3">
      <c r="G413">
        <v>409</v>
      </c>
      <c r="H413" s="2" cm="1">
        <f t="array" aca="1" ref="H413:I4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13" s="3">
        <f ca="1"/>
        <v>3.1379297861490171E-2</v>
      </c>
      <c r="L413" s="1">
        <f ca="1"/>
        <v>596175.93776272098</v>
      </c>
      <c r="N413">
        <f ca="1"/>
        <v>0</v>
      </c>
    </row>
    <row r="414" spans="7:14" x14ac:dyDescent="0.3">
      <c r="G414">
        <v>410</v>
      </c>
      <c r="H414" s="2" cm="1">
        <f t="array" aca="1" ref="H414:I4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498061.41703627072</v>
      </c>
      <c r="I414" s="3">
        <f ca="1"/>
        <v>2.7422012628849513E-2</v>
      </c>
      <c r="L414" s="1">
        <f ca="1"/>
        <v>10777597.563014815</v>
      </c>
      <c r="N414">
        <f ca="1"/>
        <v>7221516.7393125547</v>
      </c>
    </row>
    <row r="415" spans="7:14" x14ac:dyDescent="0.3">
      <c r="G415">
        <v>411</v>
      </c>
      <c r="H415" s="2" cm="1">
        <f t="array" aca="1" ref="H415:I4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3009444.4105666997</v>
      </c>
      <c r="I415" s="3">
        <f ca="1"/>
        <v>5.6780332933404919E-2</v>
      </c>
      <c r="L415" s="1">
        <f ca="1"/>
        <v>828516.72853770969</v>
      </c>
      <c r="N415">
        <f ca="1"/>
        <v>10613503.559844654</v>
      </c>
    </row>
    <row r="416" spans="7:14" x14ac:dyDescent="0.3">
      <c r="G416">
        <v>412</v>
      </c>
      <c r="H416" s="2" cm="1">
        <f t="array" aca="1" ref="H416:I4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16" s="3">
        <f ca="1"/>
        <v>2.779984281369588E-2</v>
      </c>
      <c r="L416" s="1">
        <f ca="1"/>
        <v>486348.83819491166</v>
      </c>
      <c r="N416">
        <f ca="1"/>
        <v>14405872.332837354</v>
      </c>
    </row>
    <row r="417" spans="7:14" x14ac:dyDescent="0.3">
      <c r="G417">
        <v>413</v>
      </c>
      <c r="H417" s="2" cm="1">
        <f t="array" aca="1" ref="H417:I4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15226277.380878076</v>
      </c>
      <c r="I417" s="3">
        <f ca="1"/>
        <v>8.6208855403150861E-2</v>
      </c>
      <c r="L417" s="1">
        <f ca="1"/>
        <v>662148.712459128</v>
      </c>
      <c r="N417">
        <f ca="1"/>
        <v>0</v>
      </c>
    </row>
    <row r="418" spans="7:14" x14ac:dyDescent="0.3">
      <c r="G418">
        <v>414</v>
      </c>
      <c r="H418" s="2" cm="1">
        <f t="array" aca="1" ref="H418:I4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6073163.275894884</v>
      </c>
      <c r="I418" s="3">
        <f ca="1"/>
        <v>6.9978203535994335E-2</v>
      </c>
      <c r="L418" s="1">
        <f ca="1"/>
        <v>0</v>
      </c>
      <c r="N418">
        <f ca="1"/>
        <v>3169728.1165567762</v>
      </c>
    </row>
    <row r="419" spans="7:14" x14ac:dyDescent="0.3">
      <c r="G419">
        <v>415</v>
      </c>
      <c r="H419" s="2" cm="1">
        <f t="array" aca="1" ref="H419:I4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19" s="3">
        <f ca="1"/>
        <v>4.7604215947875873E-2</v>
      </c>
      <c r="L419" s="1">
        <f ca="1"/>
        <v>5109774.2079271376</v>
      </c>
      <c r="N419">
        <f ca="1"/>
        <v>0</v>
      </c>
    </row>
    <row r="420" spans="7:14" x14ac:dyDescent="0.3">
      <c r="G420">
        <v>416</v>
      </c>
      <c r="H420" s="2" cm="1">
        <f t="array" aca="1" ref="H420:I4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4454071.7476400733</v>
      </c>
      <c r="I420" s="3">
        <f ca="1"/>
        <v>6.3400120995528914E-2</v>
      </c>
      <c r="L420" s="1">
        <f ca="1"/>
        <v>790746.82186410204</v>
      </c>
      <c r="N420">
        <f ca="1"/>
        <v>6607411.0358440531</v>
      </c>
    </row>
    <row r="421" spans="7:14" x14ac:dyDescent="0.3">
      <c r="G421">
        <v>417</v>
      </c>
      <c r="H421" s="2" cm="1">
        <f t="array" aca="1" ref="H421:I4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807919.760049309</v>
      </c>
      <c r="I421" s="3">
        <f ca="1"/>
        <v>3.2851638033500122E-2</v>
      </c>
      <c r="L421" s="1">
        <f ca="1"/>
        <v>4101657.9670183817</v>
      </c>
      <c r="N421">
        <f ca="1"/>
        <v>629953.95542606921</v>
      </c>
    </row>
    <row r="422" spans="7:14" x14ac:dyDescent="0.3">
      <c r="G422">
        <v>418</v>
      </c>
      <c r="H422" s="2" cm="1">
        <f t="array" aca="1" ref="H422:I4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22585232.877038058</v>
      </c>
      <c r="I422" s="3">
        <f ca="1"/>
        <v>9.3310146028066407E-2</v>
      </c>
      <c r="L422" s="1">
        <f ca="1"/>
        <v>0</v>
      </c>
      <c r="N422">
        <f ca="1"/>
        <v>11598700.612942837</v>
      </c>
    </row>
    <row r="423" spans="7:14" x14ac:dyDescent="0.3">
      <c r="G423">
        <v>419</v>
      </c>
      <c r="H423" s="2" cm="1">
        <f t="array" aca="1" ref="H423:I4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23" s="3">
        <f ca="1"/>
        <v>4.6370209010354151E-2</v>
      </c>
      <c r="L423" s="1">
        <f ca="1"/>
        <v>5085607.313010334</v>
      </c>
      <c r="N423">
        <f ca="1"/>
        <v>4721242.7326125978</v>
      </c>
    </row>
    <row r="424" spans="7:14" x14ac:dyDescent="0.3">
      <c r="G424">
        <v>420</v>
      </c>
      <c r="H424" s="2" cm="1">
        <f t="array" aca="1" ref="H424:I4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8396236.1387332771</v>
      </c>
      <c r="I424" s="3">
        <f ca="1"/>
        <v>7.4406898713420183E-2</v>
      </c>
      <c r="L424" s="1">
        <f ca="1"/>
        <v>18898648.699855275</v>
      </c>
      <c r="N424">
        <f ca="1"/>
        <v>3906320.5271420986</v>
      </c>
    </row>
    <row r="425" spans="7:14" x14ac:dyDescent="0.3">
      <c r="G425">
        <v>421</v>
      </c>
      <c r="H425" s="2" cm="1">
        <f t="array" aca="1" ref="H425:I4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25" s="3">
        <f ca="1"/>
        <v>3.0089977384462469E-2</v>
      </c>
      <c r="L425" s="1">
        <f ca="1"/>
        <v>49134.755470380667</v>
      </c>
      <c r="N425">
        <f ca="1"/>
        <v>1100522.4358795478</v>
      </c>
    </row>
    <row r="426" spans="7:14" x14ac:dyDescent="0.3">
      <c r="G426">
        <v>422</v>
      </c>
      <c r="H426" s="2" cm="1">
        <f t="array" aca="1" ref="H426:I4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26" s="3">
        <f ca="1"/>
        <v>4.7179448560592134E-2</v>
      </c>
      <c r="L426" s="1">
        <f ca="1"/>
        <v>0</v>
      </c>
      <c r="N426">
        <f ca="1"/>
        <v>5668442.4338826984</v>
      </c>
    </row>
    <row r="427" spans="7:14" x14ac:dyDescent="0.3">
      <c r="G427">
        <v>423</v>
      </c>
      <c r="H427" s="2" cm="1">
        <f t="array" aca="1" ref="H427:I4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3462972.1426273868</v>
      </c>
      <c r="I427" s="3">
        <f ca="1"/>
        <v>5.8213589330211035E-2</v>
      </c>
      <c r="L427" s="1">
        <f ca="1"/>
        <v>4805647.9240972875</v>
      </c>
      <c r="N427">
        <f ca="1"/>
        <v>10015863.902739309</v>
      </c>
    </row>
    <row r="428" spans="7:14" x14ac:dyDescent="0.3">
      <c r="G428">
        <v>424</v>
      </c>
      <c r="H428" s="2" cm="1">
        <f t="array" aca="1" ref="H428:I4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19445695.932875365</v>
      </c>
      <c r="I428" s="3">
        <f ca="1"/>
        <v>9.2399423066470823E-2</v>
      </c>
      <c r="L428" s="1">
        <f ca="1"/>
        <v>41004928.735122755</v>
      </c>
      <c r="N428">
        <f ca="1"/>
        <v>35040569.646654263</v>
      </c>
    </row>
    <row r="429" spans="7:14" x14ac:dyDescent="0.3">
      <c r="G429">
        <v>425</v>
      </c>
      <c r="H429" s="2" cm="1">
        <f t="array" aca="1" ref="H429:I4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991870.05983431381</v>
      </c>
      <c r="I429" s="3">
        <f ca="1"/>
        <v>4.9061955736668064E-2</v>
      </c>
      <c r="L429" s="1">
        <f ca="1"/>
        <v>2867704.8991172104</v>
      </c>
      <c r="N429">
        <f ca="1"/>
        <v>17368960.998271868</v>
      </c>
    </row>
    <row r="430" spans="7:14" x14ac:dyDescent="0.3">
      <c r="G430">
        <v>426</v>
      </c>
      <c r="H430" s="2" cm="1">
        <f t="array" aca="1" ref="H430:I4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7657851.7951329695</v>
      </c>
      <c r="I430" s="3">
        <f ca="1"/>
        <v>7.3840445095998727E-2</v>
      </c>
      <c r="L430" s="1">
        <f ca="1"/>
        <v>711629.27132259787</v>
      </c>
      <c r="N430">
        <f ca="1"/>
        <v>955272.71084695007</v>
      </c>
    </row>
    <row r="431" spans="7:14" x14ac:dyDescent="0.3">
      <c r="G431">
        <v>427</v>
      </c>
      <c r="H431" s="2" cm="1">
        <f t="array" aca="1" ref="H431:I4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31" s="3">
        <f ca="1"/>
        <v>1.4605778997061006E-2</v>
      </c>
      <c r="L431" s="1">
        <f ca="1"/>
        <v>3660380.9972456475</v>
      </c>
      <c r="N431">
        <f ca="1"/>
        <v>0</v>
      </c>
    </row>
    <row r="432" spans="7:14" x14ac:dyDescent="0.3">
      <c r="G432">
        <v>428</v>
      </c>
      <c r="H432" s="2" cm="1">
        <f t="array" aca="1" ref="H432:I4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11320398.140556313</v>
      </c>
      <c r="I432" s="3">
        <f ca="1"/>
        <v>9.0028459604521285E-2</v>
      </c>
      <c r="L432" s="1">
        <f ca="1"/>
        <v>0</v>
      </c>
      <c r="N432">
        <f ca="1"/>
        <v>815375.65119117056</v>
      </c>
    </row>
    <row r="433" spans="7:14" x14ac:dyDescent="0.3">
      <c r="G433">
        <v>429</v>
      </c>
      <c r="H433" s="2" cm="1">
        <f t="array" aca="1" ref="H433:I4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3772091.2373016602</v>
      </c>
      <c r="I433" s="3">
        <f ca="1"/>
        <v>7.554118815659569E-2</v>
      </c>
      <c r="L433" s="1">
        <f ca="1"/>
        <v>2073987.6687436784</v>
      </c>
      <c r="N433">
        <f ca="1"/>
        <v>1299087.0468292325</v>
      </c>
    </row>
    <row r="434" spans="7:14" x14ac:dyDescent="0.3">
      <c r="G434">
        <v>430</v>
      </c>
      <c r="H434" s="2" cm="1">
        <f t="array" aca="1" ref="H434:I4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1776142.4778518209</v>
      </c>
      <c r="I434" s="3">
        <f ca="1"/>
        <v>5.1570959426581665E-2</v>
      </c>
      <c r="L434" s="1">
        <f ca="1"/>
        <v>809463.03057791549</v>
      </c>
      <c r="N434">
        <f ca="1"/>
        <v>17322200.549468424</v>
      </c>
    </row>
    <row r="435" spans="7:14" x14ac:dyDescent="0.3">
      <c r="G435">
        <v>431</v>
      </c>
      <c r="H435" s="2" cm="1">
        <f t="array" aca="1" ref="H435:I4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2718736.9962659595</v>
      </c>
      <c r="I435" s="3">
        <f ca="1"/>
        <v>7.1551155990360021E-2</v>
      </c>
      <c r="L435" s="1">
        <f ca="1"/>
        <v>2221109.0339279477</v>
      </c>
      <c r="N435">
        <f ca="1"/>
        <v>0</v>
      </c>
    </row>
    <row r="436" spans="7:14" x14ac:dyDescent="0.3">
      <c r="G436">
        <v>432</v>
      </c>
      <c r="H436" s="2" cm="1">
        <f t="array" aca="1" ref="H436:I4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5938445.9683147203</v>
      </c>
      <c r="I436" s="3">
        <f ca="1"/>
        <v>6.2125406736784072E-2</v>
      </c>
      <c r="L436" s="1">
        <f ca="1"/>
        <v>11833246.509901457</v>
      </c>
      <c r="N436">
        <f ca="1"/>
        <v>13845443.391788516</v>
      </c>
    </row>
    <row r="437" spans="7:14" x14ac:dyDescent="0.3">
      <c r="G437">
        <v>433</v>
      </c>
      <c r="H437" s="2" cm="1">
        <f t="array" aca="1" ref="H437:I4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394127.83220592909</v>
      </c>
      <c r="I437" s="3">
        <f ca="1"/>
        <v>4.2820736668085065E-2</v>
      </c>
      <c r="L437" s="1">
        <f ca="1"/>
        <v>9925130.6548956297</v>
      </c>
      <c r="N437">
        <f ca="1"/>
        <v>0</v>
      </c>
    </row>
    <row r="438" spans="7:14" x14ac:dyDescent="0.3">
      <c r="G438">
        <v>434</v>
      </c>
      <c r="H438" s="2" cm="1">
        <f t="array" aca="1" ref="H438:I4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3449195.1001045625</v>
      </c>
      <c r="I438" s="3">
        <f ca="1"/>
        <v>5.7823011635924758E-2</v>
      </c>
      <c r="L438" s="1">
        <f ca="1"/>
        <v>6805365.9231441263</v>
      </c>
      <c r="N438">
        <f ca="1"/>
        <v>0</v>
      </c>
    </row>
    <row r="439" spans="7:14" x14ac:dyDescent="0.3">
      <c r="G439">
        <v>435</v>
      </c>
      <c r="H439" s="2" cm="1">
        <f t="array" aca="1" ref="H439:I4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13316723.57438514</v>
      </c>
      <c r="I439" s="3">
        <f ca="1"/>
        <v>8.2624063982632431E-2</v>
      </c>
      <c r="L439" s="1">
        <f ca="1"/>
        <v>9213735.6990964934</v>
      </c>
      <c r="N439">
        <f ca="1"/>
        <v>4194037.8564347536</v>
      </c>
    </row>
    <row r="440" spans="7:14" x14ac:dyDescent="0.3">
      <c r="G440">
        <v>436</v>
      </c>
      <c r="H440" s="2" cm="1">
        <f t="array" aca="1" ref="H440:I4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4093176.7020835243</v>
      </c>
      <c r="I440" s="3">
        <f ca="1"/>
        <v>7.6997709129913272E-2</v>
      </c>
      <c r="L440" s="1">
        <f ca="1"/>
        <v>3644165.7454099599</v>
      </c>
      <c r="N440">
        <f ca="1"/>
        <v>254460.18341982382</v>
      </c>
    </row>
    <row r="441" spans="7:14" x14ac:dyDescent="0.3">
      <c r="G441">
        <v>437</v>
      </c>
      <c r="H441" s="2" cm="1">
        <f t="array" aca="1" ref="H441:I4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3275238.7699958575</v>
      </c>
      <c r="I441" s="3">
        <f ca="1"/>
        <v>5.8412919268644038E-2</v>
      </c>
      <c r="L441" s="1">
        <f ca="1"/>
        <v>0</v>
      </c>
      <c r="N441">
        <f ca="1"/>
        <v>6733871.314627938</v>
      </c>
    </row>
    <row r="442" spans="7:14" x14ac:dyDescent="0.3">
      <c r="G442">
        <v>438</v>
      </c>
      <c r="H442" s="2" cm="1">
        <f t="array" aca="1" ref="H442:I4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42" s="3">
        <f ca="1"/>
        <v>3.8042225726904723E-2</v>
      </c>
      <c r="L442" s="1">
        <f ca="1"/>
        <v>10064640.618292322</v>
      </c>
      <c r="N442">
        <f ca="1"/>
        <v>3626734.6423973544</v>
      </c>
    </row>
    <row r="443" spans="7:14" x14ac:dyDescent="0.3">
      <c r="G443">
        <v>439</v>
      </c>
      <c r="H443" s="2" cm="1">
        <f t="array" aca="1" ref="H443:I4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43" s="3">
        <f ca="1"/>
        <v>3.8453510185521227E-2</v>
      </c>
      <c r="L443" s="1">
        <f ca="1"/>
        <v>354556.71639564389</v>
      </c>
      <c r="N443">
        <f ca="1"/>
        <v>1707728.4995384177</v>
      </c>
    </row>
    <row r="444" spans="7:14" x14ac:dyDescent="0.3">
      <c r="G444">
        <v>440</v>
      </c>
      <c r="H444" s="2" cm="1">
        <f t="array" aca="1" ref="H444:I4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44" s="3">
        <f ca="1"/>
        <v>3.4123284503804398E-2</v>
      </c>
      <c r="L444" s="1">
        <f ca="1"/>
        <v>11915087.226974271</v>
      </c>
      <c r="N444">
        <f ca="1"/>
        <v>3931868.1124460511</v>
      </c>
    </row>
    <row r="445" spans="7:14" x14ac:dyDescent="0.3">
      <c r="G445">
        <v>441</v>
      </c>
      <c r="H445" s="2" cm="1">
        <f t="array" aca="1" ref="H445:I4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399807.52630741522</v>
      </c>
      <c r="I445" s="3">
        <f ca="1"/>
        <v>4.9245313767430479E-2</v>
      </c>
      <c r="L445" s="1">
        <f ca="1"/>
        <v>9805462.4804208316</v>
      </c>
      <c r="N445">
        <f ca="1"/>
        <v>7681687.9009944899</v>
      </c>
    </row>
    <row r="446" spans="7:14" x14ac:dyDescent="0.3">
      <c r="G446">
        <v>442</v>
      </c>
      <c r="H446" s="2" cm="1">
        <f t="array" aca="1" ref="H446:I4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4457827.1015313696</v>
      </c>
      <c r="I446" s="3">
        <f ca="1"/>
        <v>6.3376782170216264E-2</v>
      </c>
      <c r="L446" s="1">
        <f ca="1"/>
        <v>0</v>
      </c>
      <c r="N446">
        <f ca="1"/>
        <v>2675879.8166756118</v>
      </c>
    </row>
    <row r="447" spans="7:14" x14ac:dyDescent="0.3">
      <c r="G447">
        <v>443</v>
      </c>
      <c r="H447" s="2" cm="1">
        <f t="array" aca="1" ref="H447:I4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31264520.249214817</v>
      </c>
      <c r="I447" s="3">
        <f ca="1"/>
        <v>9.5103682476973622E-2</v>
      </c>
      <c r="L447" s="1">
        <f ca="1"/>
        <v>786841.80253065203</v>
      </c>
      <c r="N447">
        <f ca="1"/>
        <v>6751065.5752331698</v>
      </c>
    </row>
    <row r="448" spans="7:14" x14ac:dyDescent="0.3">
      <c r="G448">
        <v>444</v>
      </c>
      <c r="H448" s="2" cm="1">
        <f t="array" aca="1" ref="H448:I4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11588480.415720697</v>
      </c>
      <c r="I448" s="3">
        <f ca="1"/>
        <v>8.121017125014654E-2</v>
      </c>
      <c r="L448" s="1">
        <f ca="1"/>
        <v>578853.09387802437</v>
      </c>
      <c r="N448">
        <f ca="1"/>
        <v>4959557.3901918307</v>
      </c>
    </row>
    <row r="449" spans="7:14" x14ac:dyDescent="0.3">
      <c r="G449">
        <v>445</v>
      </c>
      <c r="H449" s="2" cm="1">
        <f t="array" aca="1" ref="H449:I4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4905698.0329373144</v>
      </c>
      <c r="I449" s="3">
        <f ca="1"/>
        <v>7.4108569462403781E-2</v>
      </c>
      <c r="L449" s="1">
        <f ca="1"/>
        <v>0</v>
      </c>
      <c r="N449">
        <f ca="1"/>
        <v>3740166.2922346476</v>
      </c>
    </row>
    <row r="450" spans="7:14" x14ac:dyDescent="0.3">
      <c r="G450">
        <v>446</v>
      </c>
      <c r="H450" s="2" cm="1">
        <f t="array" aca="1" ref="H450:I4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2175553.4440259705</v>
      </c>
      <c r="I450" s="3">
        <f ca="1"/>
        <v>5.2280139113238575E-2</v>
      </c>
      <c r="L450" s="1">
        <f ca="1"/>
        <v>23500542.189833757</v>
      </c>
      <c r="N450">
        <f ca="1"/>
        <v>5869668.7611649754</v>
      </c>
    </row>
    <row r="451" spans="7:14" x14ac:dyDescent="0.3">
      <c r="G451">
        <v>447</v>
      </c>
      <c r="H451" s="2" cm="1">
        <f t="array" aca="1" ref="H451:I4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795077.88432534423</v>
      </c>
      <c r="I451" s="3">
        <f ca="1"/>
        <v>3.4007289934920186E-2</v>
      </c>
      <c r="L451" s="1">
        <f ca="1"/>
        <v>3296786.1152673038</v>
      </c>
      <c r="N451">
        <f ca="1"/>
        <v>6083221.0862434814</v>
      </c>
    </row>
    <row r="452" spans="7:14" x14ac:dyDescent="0.3">
      <c r="G452">
        <v>448</v>
      </c>
      <c r="H452" s="2" cm="1">
        <f t="array" aca="1" ref="H452:I4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12870875.095901826</v>
      </c>
      <c r="I452" s="3">
        <f ca="1"/>
        <v>7.6142355258924849E-2</v>
      </c>
      <c r="L452" s="1">
        <f ca="1"/>
        <v>33759064.214305207</v>
      </c>
      <c r="N452">
        <f ca="1"/>
        <v>762821.17517107457</v>
      </c>
    </row>
    <row r="453" spans="7:14" x14ac:dyDescent="0.3">
      <c r="G453">
        <v>449</v>
      </c>
      <c r="H453" s="2" cm="1">
        <f t="array" aca="1" ref="H453:I4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1732785.0340722911</v>
      </c>
      <c r="I453" s="3">
        <f ca="1"/>
        <v>5.6933446050376146E-2</v>
      </c>
      <c r="L453" s="1">
        <f ca="1"/>
        <v>193181.6791345409</v>
      </c>
      <c r="N453">
        <f ca="1"/>
        <v>1326715.1934593709</v>
      </c>
    </row>
    <row r="454" spans="7:14" x14ac:dyDescent="0.3">
      <c r="G454">
        <v>450</v>
      </c>
      <c r="H454" s="2" cm="1">
        <f t="array" aca="1" ref="H454:I4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12061220.939989923</v>
      </c>
      <c r="I454" s="3">
        <f ca="1"/>
        <v>8.2879286369706137E-2</v>
      </c>
      <c r="L454" s="1">
        <f ca="1"/>
        <v>14307071.80125591</v>
      </c>
      <c r="N454">
        <f ca="1"/>
        <v>10113672.949907046</v>
      </c>
    </row>
    <row r="455" spans="7:14" x14ac:dyDescent="0.3">
      <c r="G455">
        <v>451</v>
      </c>
      <c r="H455" s="2" cm="1">
        <f t="array" aca="1" ref="H455:I4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7191477.7791746147</v>
      </c>
      <c r="I455" s="3">
        <f ca="1"/>
        <v>7.5244955637866678E-2</v>
      </c>
      <c r="L455" s="1">
        <f ca="1"/>
        <v>618967.10560219001</v>
      </c>
      <c r="N455">
        <f ca="1"/>
        <v>0</v>
      </c>
    </row>
    <row r="456" spans="7:14" x14ac:dyDescent="0.3">
      <c r="G456">
        <v>452</v>
      </c>
      <c r="H456" s="2" cm="1">
        <f t="array" aca="1" ref="H456:I4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1041645.4166245211</v>
      </c>
      <c r="I456" s="3">
        <f ca="1"/>
        <v>6.3878545240010159E-2</v>
      </c>
      <c r="L456" s="1">
        <f ca="1"/>
        <v>29369366.371645298</v>
      </c>
      <c r="N456">
        <f ca="1"/>
        <v>3904807.2779809465</v>
      </c>
    </row>
    <row r="457" spans="7:14" x14ac:dyDescent="0.3">
      <c r="G457">
        <v>453</v>
      </c>
      <c r="H457" s="2" cm="1">
        <f t="array" aca="1" ref="H457:I4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9730460.7349793892</v>
      </c>
      <c r="I457" s="3">
        <f ca="1"/>
        <v>8.1818737551454523E-2</v>
      </c>
      <c r="L457" s="1">
        <f ca="1"/>
        <v>39816955.390384361</v>
      </c>
      <c r="N457">
        <f ca="1"/>
        <v>0</v>
      </c>
    </row>
    <row r="458" spans="7:14" x14ac:dyDescent="0.3">
      <c r="G458">
        <v>454</v>
      </c>
      <c r="H458" s="2" cm="1">
        <f t="array" aca="1" ref="H458:I4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58" s="3">
        <f ca="1"/>
        <v>4.3893666890538231E-2</v>
      </c>
      <c r="L458" s="1">
        <f ca="1"/>
        <v>3584119.8324588868</v>
      </c>
      <c r="N458">
        <f ca="1"/>
        <v>0</v>
      </c>
    </row>
    <row r="459" spans="7:14" x14ac:dyDescent="0.3">
      <c r="G459">
        <v>455</v>
      </c>
      <c r="H459" s="2" cm="1">
        <f t="array" aca="1" ref="H459:I4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59" s="3">
        <f ca="1"/>
        <v>6.1817507886454959E-2</v>
      </c>
      <c r="L459" s="1">
        <f ca="1"/>
        <v>8317915.4778385311</v>
      </c>
      <c r="N459">
        <f ca="1"/>
        <v>659373.76808122243</v>
      </c>
    </row>
    <row r="460" spans="7:14" x14ac:dyDescent="0.3">
      <c r="G460">
        <v>456</v>
      </c>
      <c r="H460" s="2" cm="1">
        <f t="array" aca="1" ref="H460:I4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16846256.133974589</v>
      </c>
      <c r="I460" s="3">
        <f ca="1"/>
        <v>8.4612360003783499E-2</v>
      </c>
      <c r="L460" s="1">
        <f ca="1"/>
        <v>2029244.1955892392</v>
      </c>
      <c r="N460">
        <f ca="1"/>
        <v>2868506.2774757077</v>
      </c>
    </row>
    <row r="461" spans="7:14" x14ac:dyDescent="0.3">
      <c r="G461">
        <v>457</v>
      </c>
      <c r="H461" s="2" cm="1">
        <f t="array" aca="1" ref="H461:I4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4953976.0327359326</v>
      </c>
      <c r="I461" s="3">
        <f ca="1"/>
        <v>6.5210019080677042E-2</v>
      </c>
      <c r="L461" s="1">
        <f ca="1"/>
        <v>3972265.4138952657</v>
      </c>
      <c r="N461">
        <f ca="1"/>
        <v>7796466.4580014264</v>
      </c>
    </row>
    <row r="462" spans="7:14" x14ac:dyDescent="0.3">
      <c r="G462">
        <v>458</v>
      </c>
      <c r="H462" s="2" cm="1">
        <f t="array" aca="1" ref="H462:I4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62" s="3">
        <f ca="1"/>
        <v>3.2905359180150924E-2</v>
      </c>
      <c r="L462" s="1">
        <f ca="1"/>
        <v>2567699.5892068082</v>
      </c>
      <c r="N462">
        <f ca="1"/>
        <v>8328048.8065404845</v>
      </c>
    </row>
    <row r="463" spans="7:14" x14ac:dyDescent="0.3">
      <c r="G463">
        <v>459</v>
      </c>
      <c r="H463" s="2" cm="1">
        <f t="array" aca="1" ref="H463:I4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63" s="3">
        <f ca="1"/>
        <v>4.5390812557616136E-2</v>
      </c>
      <c r="L463" s="1">
        <f ca="1"/>
        <v>5213858.8352440568</v>
      </c>
      <c r="N463">
        <f ca="1"/>
        <v>0</v>
      </c>
    </row>
    <row r="464" spans="7:14" x14ac:dyDescent="0.3">
      <c r="G464">
        <v>460</v>
      </c>
      <c r="H464" s="2" cm="1">
        <f t="array" aca="1" ref="H464:I4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5727161.1333871316</v>
      </c>
      <c r="I464" s="3">
        <f ca="1"/>
        <v>6.3852413251474366E-2</v>
      </c>
      <c r="L464" s="1">
        <f ca="1"/>
        <v>969805.17119010352</v>
      </c>
      <c r="N464">
        <f ca="1"/>
        <v>1693047.1378944698</v>
      </c>
    </row>
    <row r="465" spans="7:14" x14ac:dyDescent="0.3">
      <c r="G465">
        <v>461</v>
      </c>
      <c r="H465" s="2" cm="1">
        <f t="array" aca="1" ref="H465:I4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65" s="3">
        <f ca="1"/>
        <v>4.4936293791670592E-2</v>
      </c>
      <c r="L465" s="1">
        <f ca="1"/>
        <v>16539013.317538623</v>
      </c>
      <c r="N465">
        <f ca="1"/>
        <v>0</v>
      </c>
    </row>
    <row r="466" spans="7:14" x14ac:dyDescent="0.3">
      <c r="G466">
        <v>462</v>
      </c>
      <c r="H466" s="2" cm="1">
        <f t="array" aca="1" ref="H466:I4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66" s="3">
        <f ca="1"/>
        <v>6.7956439711312447E-2</v>
      </c>
      <c r="L466" s="1">
        <f ca="1"/>
        <v>9738208.1920532994</v>
      </c>
      <c r="N466">
        <f ca="1"/>
        <v>14156999.627908666</v>
      </c>
    </row>
    <row r="467" spans="7:14" x14ac:dyDescent="0.3">
      <c r="G467">
        <v>463</v>
      </c>
      <c r="H467" s="2" cm="1">
        <f t="array" aca="1" ref="H467:I4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67" s="3">
        <f ca="1"/>
        <v>2.9142619974975914E-2</v>
      </c>
      <c r="L467" s="1">
        <f ca="1"/>
        <v>6885516.5796486111</v>
      </c>
      <c r="N467">
        <f ca="1"/>
        <v>0</v>
      </c>
    </row>
    <row r="468" spans="7:14" x14ac:dyDescent="0.3">
      <c r="G468">
        <v>464</v>
      </c>
      <c r="H468" s="2" cm="1">
        <f t="array" aca="1" ref="H468:I4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22023446.379159022</v>
      </c>
      <c r="I468" s="3">
        <f ca="1"/>
        <v>8.9161926459984664E-2</v>
      </c>
      <c r="L468" s="1">
        <f ca="1"/>
        <v>112983.00307049912</v>
      </c>
      <c r="N468">
        <f ca="1"/>
        <v>485971.73658857116</v>
      </c>
    </row>
    <row r="469" spans="7:14" x14ac:dyDescent="0.3">
      <c r="G469">
        <v>465</v>
      </c>
      <c r="H469" s="2" cm="1">
        <f t="array" aca="1" ref="H469:I4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31448999.744664907</v>
      </c>
      <c r="I469" s="3">
        <f ca="1"/>
        <v>9.7597354008370746E-2</v>
      </c>
      <c r="L469" s="1">
        <f ca="1"/>
        <v>2908064.3680350264</v>
      </c>
      <c r="N469">
        <f ca="1"/>
        <v>19243499.33706123</v>
      </c>
    </row>
    <row r="470" spans="7:14" x14ac:dyDescent="0.3">
      <c r="G470">
        <v>466</v>
      </c>
      <c r="H470" s="2" cm="1">
        <f t="array" aca="1" ref="H470:I4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1635851.8742426508</v>
      </c>
      <c r="I470" s="3">
        <f ca="1"/>
        <v>5.4473958229843598E-2</v>
      </c>
      <c r="L470" s="1">
        <f ca="1"/>
        <v>5363248.1445648754</v>
      </c>
      <c r="N470">
        <f ca="1"/>
        <v>619463.36384862207</v>
      </c>
    </row>
    <row r="471" spans="7:14" x14ac:dyDescent="0.3">
      <c r="G471">
        <v>467</v>
      </c>
      <c r="H471" s="2" cm="1">
        <f t="array" aca="1" ref="H471:I4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15144560.316420622</v>
      </c>
      <c r="I471" s="3">
        <f ca="1"/>
        <v>9.4244413480719852E-2</v>
      </c>
      <c r="L471" s="1">
        <f ca="1"/>
        <v>0</v>
      </c>
      <c r="N471">
        <f ca="1"/>
        <v>1921961.0334702048</v>
      </c>
    </row>
    <row r="472" spans="7:14" x14ac:dyDescent="0.3">
      <c r="G472">
        <v>468</v>
      </c>
      <c r="H472" s="2" cm="1">
        <f t="array" aca="1" ref="H472:I4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25985848.055977732</v>
      </c>
      <c r="I472" s="3">
        <f ca="1"/>
        <v>9.8881019684624705E-2</v>
      </c>
      <c r="L472" s="1">
        <f ca="1"/>
        <v>6221846.6287938962</v>
      </c>
      <c r="N472">
        <f ca="1"/>
        <v>960974.26454960345</v>
      </c>
    </row>
    <row r="473" spans="7:14" x14ac:dyDescent="0.3">
      <c r="G473">
        <v>469</v>
      </c>
      <c r="H473" s="2" cm="1">
        <f t="array" aca="1" ref="H473:I4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5617624.1619615592</v>
      </c>
      <c r="I473" s="3">
        <f ca="1"/>
        <v>6.6589848964351106E-2</v>
      </c>
      <c r="L473" s="1">
        <f ca="1"/>
        <v>0</v>
      </c>
      <c r="N473">
        <f ca="1"/>
        <v>536403.97885160567</v>
      </c>
    </row>
    <row r="474" spans="7:14" x14ac:dyDescent="0.3">
      <c r="G474">
        <v>470</v>
      </c>
      <c r="H474" s="2" cm="1">
        <f t="array" aca="1" ref="H474:I4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3655005.132973908</v>
      </c>
      <c r="I474" s="3">
        <f ca="1"/>
        <v>6.1819809180983808E-2</v>
      </c>
      <c r="L474" s="1">
        <f ca="1"/>
        <v>1052922.9480001437</v>
      </c>
      <c r="N474">
        <f ca="1"/>
        <v>937380.40951238829</v>
      </c>
    </row>
    <row r="475" spans="7:14" x14ac:dyDescent="0.3">
      <c r="G475">
        <v>471</v>
      </c>
      <c r="H475" s="2" cm="1">
        <f t="array" aca="1" ref="H475:I4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3618961.9114089399</v>
      </c>
      <c r="I475" s="3">
        <f ca="1"/>
        <v>5.5116697179280819E-2</v>
      </c>
      <c r="L475" s="1">
        <f ca="1"/>
        <v>1760887.0772789272</v>
      </c>
      <c r="N475">
        <f ca="1"/>
        <v>34020116.983697519</v>
      </c>
    </row>
    <row r="476" spans="7:14" x14ac:dyDescent="0.3">
      <c r="G476">
        <v>472</v>
      </c>
      <c r="H476" s="2" cm="1">
        <f t="array" aca="1" ref="H476:I4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62568.284531846613</v>
      </c>
      <c r="I476" s="3">
        <f ca="1"/>
        <v>5.2188044198345995E-2</v>
      </c>
      <c r="L476" s="1">
        <f ca="1"/>
        <v>7837628.9321424775</v>
      </c>
      <c r="N476">
        <f ca="1"/>
        <v>3806852.5986152873</v>
      </c>
    </row>
    <row r="477" spans="7:14" x14ac:dyDescent="0.3">
      <c r="G477">
        <v>473</v>
      </c>
      <c r="H477" s="2" cm="1">
        <f t="array" aca="1" ref="H477:I4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2013142.5843360117</v>
      </c>
      <c r="I477" s="3">
        <f ca="1"/>
        <v>5.6958506287928458E-2</v>
      </c>
      <c r="L477" s="1">
        <f ca="1"/>
        <v>6645053.8031014316</v>
      </c>
      <c r="N477">
        <f ca="1"/>
        <v>7809921.2034147754</v>
      </c>
    </row>
    <row r="478" spans="7:14" x14ac:dyDescent="0.3">
      <c r="G478">
        <v>474</v>
      </c>
      <c r="H478" s="2" cm="1">
        <f t="array" aca="1" ref="H478:I4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78" s="3">
        <f ca="1"/>
        <v>1.012825034127489E-2</v>
      </c>
      <c r="L478" s="1">
        <f ca="1"/>
        <v>159524.60161917278</v>
      </c>
      <c r="N478">
        <f ca="1"/>
        <v>1874629.3548319554</v>
      </c>
    </row>
    <row r="479" spans="7:14" x14ac:dyDescent="0.3">
      <c r="G479">
        <v>475</v>
      </c>
      <c r="H479" s="2" cm="1">
        <f t="array" aca="1" ref="H479:I4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435360.32010093087</v>
      </c>
      <c r="I479" s="3">
        <f ca="1"/>
        <v>5.1930440991846814E-2</v>
      </c>
      <c r="L479" s="1">
        <f ca="1"/>
        <v>117537.40496075789</v>
      </c>
      <c r="N479">
        <f ca="1"/>
        <v>476608.04081890109</v>
      </c>
    </row>
    <row r="480" spans="7:14" x14ac:dyDescent="0.3">
      <c r="G480">
        <v>476</v>
      </c>
      <c r="H480" s="2" cm="1">
        <f t="array" aca="1" ref="H480:I4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10411591.750409093</v>
      </c>
      <c r="I480" s="3">
        <f ca="1"/>
        <v>7.9784754404593428E-2</v>
      </c>
      <c r="L480" s="1">
        <f ca="1"/>
        <v>1297491.6585827046</v>
      </c>
      <c r="N480">
        <f ca="1"/>
        <v>214157.88345233526</v>
      </c>
    </row>
    <row r="481" spans="7:14" x14ac:dyDescent="0.3">
      <c r="G481">
        <v>477</v>
      </c>
      <c r="H481" s="2" cm="1">
        <f t="array" aca="1" ref="H481:I4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1489016.5305370565</v>
      </c>
      <c r="I481" s="3">
        <f ca="1"/>
        <v>4.5413461298264055E-2</v>
      </c>
      <c r="L481" s="1">
        <f ca="1"/>
        <v>1915349.5613418531</v>
      </c>
      <c r="N481">
        <f ca="1"/>
        <v>0</v>
      </c>
    </row>
    <row r="482" spans="7:14" x14ac:dyDescent="0.3">
      <c r="G482">
        <v>478</v>
      </c>
      <c r="H482" s="2" cm="1">
        <f t="array" aca="1" ref="H482:I4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1758458.2861755644</v>
      </c>
      <c r="I482" s="3">
        <f ca="1"/>
        <v>4.7121671932647977E-2</v>
      </c>
      <c r="L482" s="1">
        <f ca="1"/>
        <v>12008423.149804309</v>
      </c>
      <c r="N482">
        <f ca="1"/>
        <v>0</v>
      </c>
    </row>
    <row r="483" spans="7:14" x14ac:dyDescent="0.3">
      <c r="G483">
        <v>479</v>
      </c>
      <c r="H483" s="2" cm="1">
        <f t="array" aca="1" ref="H483:I4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6262709.2554525128</v>
      </c>
      <c r="I483" s="3">
        <f ca="1"/>
        <v>7.4822504840822202E-2</v>
      </c>
      <c r="L483" s="1">
        <f ca="1"/>
        <v>8206249.0501647554</v>
      </c>
      <c r="N483">
        <f ca="1"/>
        <v>0</v>
      </c>
    </row>
    <row r="484" spans="7:14" x14ac:dyDescent="0.3">
      <c r="G484">
        <v>480</v>
      </c>
      <c r="H484" s="2" cm="1">
        <f t="array" aca="1" ref="H484:I4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84" s="3">
        <f ca="1"/>
        <v>-1.0920045279837467E-2</v>
      </c>
      <c r="L484" s="1">
        <f ca="1"/>
        <v>7721951.7347601894</v>
      </c>
      <c r="N484">
        <f ca="1"/>
        <v>0</v>
      </c>
    </row>
    <row r="485" spans="7:14" x14ac:dyDescent="0.3">
      <c r="G485">
        <v>481</v>
      </c>
      <c r="H485" s="2" cm="1">
        <f t="array" aca="1" ref="H485:I4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3337314.5110243959</v>
      </c>
      <c r="I485" s="3">
        <f ca="1"/>
        <v>5.7850768866227101E-2</v>
      </c>
      <c r="L485" s="1">
        <f ca="1"/>
        <v>523048.78556146874</v>
      </c>
      <c r="N485">
        <f ca="1"/>
        <v>18052409.780650117</v>
      </c>
    </row>
    <row r="486" spans="7:14" x14ac:dyDescent="0.3">
      <c r="G486">
        <v>482</v>
      </c>
      <c r="H486" s="2" cm="1">
        <f t="array" aca="1" ref="H486:I4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86" s="3">
        <f ca="1"/>
        <v>1.377927436095085E-2</v>
      </c>
      <c r="L486" s="1">
        <f ca="1"/>
        <v>86580615.740750596</v>
      </c>
      <c r="N486">
        <f ca="1"/>
        <v>4875541.58282986</v>
      </c>
    </row>
    <row r="487" spans="7:14" x14ac:dyDescent="0.3">
      <c r="G487">
        <v>483</v>
      </c>
      <c r="H487" s="2" cm="1">
        <f t="array" aca="1" ref="H487:I4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7732758.6337745925</v>
      </c>
      <c r="I487" s="3">
        <f ca="1"/>
        <v>6.8238438404975538E-2</v>
      </c>
      <c r="L487" s="1">
        <f ca="1"/>
        <v>1591449.8961023635</v>
      </c>
      <c r="N487">
        <f ca="1"/>
        <v>173056.2187596673</v>
      </c>
    </row>
    <row r="488" spans="7:14" x14ac:dyDescent="0.3">
      <c r="G488">
        <v>484</v>
      </c>
      <c r="H488" s="2" cm="1">
        <f t="array" aca="1" ref="H488:I4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11644831.828457452</v>
      </c>
      <c r="I488" s="3">
        <f ca="1"/>
        <v>8.2622856330791361E-2</v>
      </c>
      <c r="L488" s="1">
        <f ca="1"/>
        <v>3222771.4150369838</v>
      </c>
      <c r="N488">
        <f ca="1"/>
        <v>0</v>
      </c>
    </row>
    <row r="489" spans="7:14" x14ac:dyDescent="0.3">
      <c r="G489">
        <v>485</v>
      </c>
      <c r="H489" s="2" cm="1">
        <f t="array" aca="1" ref="H489:I4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649171.54766932304</v>
      </c>
      <c r="I489" s="3">
        <f ca="1"/>
        <v>6.3521838995117041E-2</v>
      </c>
      <c r="L489" s="1">
        <f ca="1"/>
        <v>18741991.651392281</v>
      </c>
      <c r="N489">
        <f ca="1"/>
        <v>0</v>
      </c>
    </row>
    <row r="490" spans="7:14" x14ac:dyDescent="0.3">
      <c r="G490">
        <v>486</v>
      </c>
      <c r="H490" s="2" cm="1">
        <f t="array" aca="1" ref="H490:I4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2090604.6666605719</v>
      </c>
      <c r="I490" s="3">
        <f ca="1"/>
        <v>4.5673748025875267E-2</v>
      </c>
      <c r="L490" s="1">
        <f ca="1"/>
        <v>708410.94174105604</v>
      </c>
      <c r="N490">
        <f ca="1"/>
        <v>0</v>
      </c>
    </row>
    <row r="491" spans="7:14" x14ac:dyDescent="0.3">
      <c r="G491">
        <v>487</v>
      </c>
      <c r="H491" s="2" cm="1">
        <f t="array" aca="1" ref="H491:I4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14115051.450847998</v>
      </c>
      <c r="I491" s="3">
        <f ca="1"/>
        <v>8.1681849212262028E-2</v>
      </c>
      <c r="L491" s="1">
        <f ca="1"/>
        <v>0</v>
      </c>
      <c r="N491">
        <f ca="1"/>
        <v>11568757.423162928</v>
      </c>
    </row>
    <row r="492" spans="7:14" x14ac:dyDescent="0.3">
      <c r="G492">
        <v>488</v>
      </c>
      <c r="H492" s="2" cm="1">
        <f t="array" aca="1" ref="H492:I4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1399588.6869328571</v>
      </c>
      <c r="I492" s="3">
        <f ca="1"/>
        <v>4.9580514480970526E-2</v>
      </c>
      <c r="L492" s="1">
        <f ca="1"/>
        <v>3763342.488695737</v>
      </c>
      <c r="N492">
        <f ca="1"/>
        <v>974694.93014870258</v>
      </c>
    </row>
    <row r="493" spans="7:14" x14ac:dyDescent="0.3">
      <c r="G493">
        <v>489</v>
      </c>
      <c r="H493" s="2" cm="1">
        <f t="array" aca="1" ref="H493:I4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5746091.7443221062</v>
      </c>
      <c r="I493" s="3">
        <f ca="1"/>
        <v>6.3496123870295768E-2</v>
      </c>
      <c r="L493" s="1">
        <f ca="1"/>
        <v>727326.68425246386</v>
      </c>
      <c r="N493">
        <f ca="1"/>
        <v>4193793.1156057548</v>
      </c>
    </row>
    <row r="494" spans="7:14" x14ac:dyDescent="0.3">
      <c r="G494">
        <v>490</v>
      </c>
      <c r="H494" s="2" cm="1">
        <f t="array" aca="1" ref="H494:I4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494" s="3">
        <f ca="1"/>
        <v>4.6912410628400264E-2</v>
      </c>
      <c r="L494" s="1">
        <f ca="1"/>
        <v>18179844.088882528</v>
      </c>
      <c r="N494">
        <f ca="1"/>
        <v>10923885.519024737</v>
      </c>
    </row>
    <row r="495" spans="7:14" x14ac:dyDescent="0.3">
      <c r="G495">
        <v>491</v>
      </c>
      <c r="H495" s="2" cm="1">
        <f t="array" aca="1" ref="H495:I4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1217460.6720566615</v>
      </c>
      <c r="I495" s="3">
        <f ca="1"/>
        <v>4.3327929939997498E-2</v>
      </c>
      <c r="L495" s="1">
        <f ca="1"/>
        <v>3042173.2630812395</v>
      </c>
      <c r="N495">
        <f ca="1"/>
        <v>29713924.652578775</v>
      </c>
    </row>
    <row r="496" spans="7:14" x14ac:dyDescent="0.3">
      <c r="G496">
        <v>492</v>
      </c>
      <c r="H496" s="2" cm="1">
        <f t="array" aca="1" ref="H496:I4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4054261.5956473467</v>
      </c>
      <c r="I496" s="3">
        <f ca="1"/>
        <v>6.7767788658649492E-2</v>
      </c>
      <c r="L496" s="1">
        <f ca="1"/>
        <v>3153434.8847912005</v>
      </c>
      <c r="N496">
        <f ca="1"/>
        <v>0</v>
      </c>
    </row>
    <row r="497" spans="7:14" x14ac:dyDescent="0.3">
      <c r="G497">
        <v>493</v>
      </c>
      <c r="H497" s="2" cm="1">
        <f t="array" aca="1" ref="H497:I4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5886991.6863802345</v>
      </c>
      <c r="I497" s="3">
        <f ca="1"/>
        <v>6.1395466770865624E-2</v>
      </c>
      <c r="L497" s="1">
        <f ca="1"/>
        <v>0</v>
      </c>
      <c r="N497">
        <f ca="1"/>
        <v>5620315.8718080632</v>
      </c>
    </row>
    <row r="498" spans="7:14" x14ac:dyDescent="0.3">
      <c r="G498">
        <v>494</v>
      </c>
      <c r="H498" s="2" cm="1">
        <f t="array" aca="1" ref="H498:I4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41025383.004370973</v>
      </c>
      <c r="I498" s="3">
        <f ca="1"/>
        <v>0.10411402135501475</v>
      </c>
      <c r="L498" s="1">
        <f ca="1"/>
        <v>778352.27102889377</v>
      </c>
      <c r="N498">
        <f ca="1"/>
        <v>0</v>
      </c>
    </row>
    <row r="499" spans="7:14" x14ac:dyDescent="0.3">
      <c r="G499">
        <v>495</v>
      </c>
      <c r="H499" s="2" cm="1">
        <f t="array" aca="1" ref="H499:I4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54478375.453216948</v>
      </c>
      <c r="I499" s="3">
        <f ca="1"/>
        <v>0.11811336034168549</v>
      </c>
      <c r="L499" s="1">
        <f ca="1"/>
        <v>0</v>
      </c>
      <c r="N499">
        <f ca="1"/>
        <v>1098738.0224777476</v>
      </c>
    </row>
    <row r="500" spans="7:14" x14ac:dyDescent="0.3">
      <c r="G500">
        <v>496</v>
      </c>
      <c r="H500" s="2" cm="1">
        <f t="array" aca="1" ref="H500:I5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00" s="3">
        <f ca="1"/>
        <v>1.6391369357249178E-2</v>
      </c>
      <c r="L500" s="1">
        <f ca="1"/>
        <v>0</v>
      </c>
      <c r="N500">
        <f ca="1"/>
        <v>1950384.2010210555</v>
      </c>
    </row>
    <row r="501" spans="7:14" x14ac:dyDescent="0.3">
      <c r="G501">
        <v>497</v>
      </c>
      <c r="H501" s="2" cm="1">
        <f t="array" aca="1" ref="H501:I5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4363654.8242312269</v>
      </c>
      <c r="I501" s="3">
        <f ca="1"/>
        <v>6.8494621005237566E-2</v>
      </c>
      <c r="L501" s="1">
        <f ca="1"/>
        <v>522737.27693557338</v>
      </c>
      <c r="N501">
        <f ca="1"/>
        <v>2569951.786671787</v>
      </c>
    </row>
    <row r="502" spans="7:14" x14ac:dyDescent="0.3">
      <c r="G502">
        <v>498</v>
      </c>
      <c r="H502" s="2" cm="1">
        <f t="array" aca="1" ref="H502:I5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5766527.5289567877</v>
      </c>
      <c r="I502" s="3">
        <f ca="1"/>
        <v>7.2811152328867965E-2</v>
      </c>
      <c r="L502" s="1">
        <f ca="1"/>
        <v>50562026.217836171</v>
      </c>
      <c r="N502">
        <f ca="1"/>
        <v>0</v>
      </c>
    </row>
    <row r="503" spans="7:14" x14ac:dyDescent="0.3">
      <c r="G503">
        <v>499</v>
      </c>
      <c r="H503" s="2" cm="1">
        <f t="array" aca="1" ref="H503:I5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03" s="3">
        <f ca="1"/>
        <v>3.4293815775280019E-2</v>
      </c>
      <c r="L503" s="1">
        <f ca="1"/>
        <v>0</v>
      </c>
      <c r="N503">
        <f ca="1"/>
        <v>1263944.1338330056</v>
      </c>
    </row>
    <row r="504" spans="7:14" x14ac:dyDescent="0.3">
      <c r="G504">
        <v>500</v>
      </c>
      <c r="H504" s="2" cm="1">
        <f t="array" aca="1" ref="H504:I5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3936737.1610288732</v>
      </c>
      <c r="I504" s="3">
        <f ca="1"/>
        <v>5.2711092192060625E-2</v>
      </c>
      <c r="L504" s="1">
        <f ca="1"/>
        <v>4781646.6205680585</v>
      </c>
      <c r="N504">
        <f ca="1"/>
        <v>17515457.444089368</v>
      </c>
    </row>
    <row r="505" spans="7:14" x14ac:dyDescent="0.3">
      <c r="G505">
        <v>501</v>
      </c>
      <c r="H505" s="2" cm="1">
        <f t="array" aca="1" ref="H505:I5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05" s="3">
        <f ca="1"/>
        <v>4.9977734164169313E-2</v>
      </c>
      <c r="L505" s="1">
        <f ca="1"/>
        <v>10015963.767382216</v>
      </c>
      <c r="N505">
        <f ca="1"/>
        <v>0</v>
      </c>
    </row>
    <row r="506" spans="7:14" x14ac:dyDescent="0.3">
      <c r="G506">
        <v>502</v>
      </c>
      <c r="H506" s="2" cm="1">
        <f t="array" aca="1" ref="H506:I5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06" s="3">
        <f ca="1"/>
        <v>3.013254394338662E-2</v>
      </c>
      <c r="L506" s="1">
        <f ca="1"/>
        <v>0</v>
      </c>
      <c r="N506">
        <f ca="1"/>
        <v>15121973.873263698</v>
      </c>
    </row>
    <row r="507" spans="7:14" x14ac:dyDescent="0.3">
      <c r="G507">
        <v>503</v>
      </c>
      <c r="H507" s="2" cm="1">
        <f t="array" aca="1" ref="H507:I5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5370967.5494596697</v>
      </c>
      <c r="I507" s="3">
        <f ca="1"/>
        <v>6.4159504539349682E-2</v>
      </c>
      <c r="L507" s="1">
        <f ca="1"/>
        <v>0</v>
      </c>
      <c r="N507">
        <f ca="1"/>
        <v>1925216.9667509033</v>
      </c>
    </row>
    <row r="508" spans="7:14" x14ac:dyDescent="0.3">
      <c r="G508">
        <v>504</v>
      </c>
      <c r="H508" s="2" cm="1">
        <f t="array" aca="1" ref="H508:I5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08" s="3">
        <f ca="1"/>
        <v>4.0287382319989545E-2</v>
      </c>
      <c r="L508" s="1">
        <f ca="1"/>
        <v>1652454.1542223154</v>
      </c>
      <c r="N508">
        <f ca="1"/>
        <v>0</v>
      </c>
    </row>
    <row r="509" spans="7:14" x14ac:dyDescent="0.3">
      <c r="G509">
        <v>505</v>
      </c>
      <c r="H509" s="2" cm="1">
        <f t="array" aca="1" ref="H509:I5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143170.8135657708</v>
      </c>
      <c r="I509" s="3">
        <f ca="1"/>
        <v>3.5304796796924755E-2</v>
      </c>
      <c r="L509" s="1">
        <f ca="1"/>
        <v>5307670.8104702178</v>
      </c>
      <c r="N509">
        <f ca="1"/>
        <v>0</v>
      </c>
    </row>
    <row r="510" spans="7:14" x14ac:dyDescent="0.3">
      <c r="G510">
        <v>506</v>
      </c>
      <c r="H510" s="2" cm="1">
        <f t="array" aca="1" ref="H510:I5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1571304.7458206022</v>
      </c>
      <c r="I510" s="3">
        <f ca="1"/>
        <v>5.1997535850861309E-2</v>
      </c>
      <c r="L510" s="1">
        <f ca="1"/>
        <v>1931454.9117594215</v>
      </c>
      <c r="N510">
        <f ca="1"/>
        <v>588771.5146039247</v>
      </c>
    </row>
    <row r="511" spans="7:14" x14ac:dyDescent="0.3">
      <c r="G511">
        <v>507</v>
      </c>
      <c r="H511" s="2" cm="1">
        <f t="array" aca="1" ref="H511:I5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11335760.31946861</v>
      </c>
      <c r="I511" s="3">
        <f ca="1"/>
        <v>7.2447595612482735E-2</v>
      </c>
      <c r="L511" s="1">
        <f ca="1"/>
        <v>18052901.990987211</v>
      </c>
      <c r="N511">
        <f ca="1"/>
        <v>4871701.2992470739</v>
      </c>
    </row>
    <row r="512" spans="7:14" x14ac:dyDescent="0.3">
      <c r="G512">
        <v>508</v>
      </c>
      <c r="H512" s="2" cm="1">
        <f t="array" aca="1" ref="H512:I5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9463274.4350052215</v>
      </c>
      <c r="I512" s="3">
        <f ca="1"/>
        <v>7.7006593775702445E-2</v>
      </c>
      <c r="L512" s="1">
        <f ca="1"/>
        <v>58009996.614101827</v>
      </c>
      <c r="N512">
        <f ca="1"/>
        <v>2186442.0433704671</v>
      </c>
    </row>
    <row r="513" spans="7:14" x14ac:dyDescent="0.3">
      <c r="G513">
        <v>509</v>
      </c>
      <c r="H513" s="2" cm="1">
        <f t="array" aca="1" ref="H513:I5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651426.64423056436</v>
      </c>
      <c r="I513" s="3">
        <f ca="1"/>
        <v>5.1375007298608576E-2</v>
      </c>
      <c r="L513" s="1">
        <f ca="1"/>
        <v>1302862.7127635009</v>
      </c>
      <c r="N513">
        <f ca="1"/>
        <v>3598431.8092588647</v>
      </c>
    </row>
    <row r="514" spans="7:14" x14ac:dyDescent="0.3">
      <c r="G514">
        <v>510</v>
      </c>
      <c r="H514" s="2" cm="1">
        <f t="array" aca="1" ref="H514:I5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12458618.475557555</v>
      </c>
      <c r="I514" s="3">
        <f ca="1"/>
        <v>8.400423426172296E-2</v>
      </c>
      <c r="L514" s="1">
        <f ca="1"/>
        <v>0</v>
      </c>
      <c r="N514">
        <f ca="1"/>
        <v>1638938.5279756167</v>
      </c>
    </row>
    <row r="515" spans="7:14" x14ac:dyDescent="0.3">
      <c r="G515">
        <v>511</v>
      </c>
      <c r="H515" s="2" cm="1">
        <f t="array" aca="1" ref="H515:I5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1005925.5967357019</v>
      </c>
      <c r="I515" s="3">
        <f ca="1"/>
        <v>3.3211011450933893E-2</v>
      </c>
      <c r="L515" s="1">
        <f ca="1"/>
        <v>158630107.40976995</v>
      </c>
      <c r="N515">
        <f ca="1"/>
        <v>5160702.5628635753</v>
      </c>
    </row>
    <row r="516" spans="7:14" x14ac:dyDescent="0.3">
      <c r="G516">
        <v>512</v>
      </c>
      <c r="H516" s="2" cm="1">
        <f t="array" aca="1" ref="H516:I5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785419.0231976005</v>
      </c>
      <c r="I516" s="3">
        <f ca="1"/>
        <v>4.2287106797858784E-2</v>
      </c>
      <c r="L516" s="1">
        <f ca="1"/>
        <v>0</v>
      </c>
      <c r="N516">
        <f ca="1"/>
        <v>44107407.150683708</v>
      </c>
    </row>
    <row r="517" spans="7:14" x14ac:dyDescent="0.3">
      <c r="G517">
        <v>513</v>
      </c>
      <c r="H517" s="2" cm="1">
        <f t="array" aca="1" ref="H517:I5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17" s="3">
        <f ca="1"/>
        <v>2.3050461384054442E-2</v>
      </c>
      <c r="L517" s="1">
        <f ca="1"/>
        <v>1455332.4709179092</v>
      </c>
      <c r="N517">
        <f ca="1"/>
        <v>2203902.257002675</v>
      </c>
    </row>
    <row r="518" spans="7:14" x14ac:dyDescent="0.3">
      <c r="G518">
        <v>514</v>
      </c>
      <c r="H518" s="2" cm="1">
        <f t="array" aca="1" ref="H518:I5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18" s="3">
        <f ca="1"/>
        <v>1.5772192179300655E-2</v>
      </c>
      <c r="L518" s="1">
        <f ca="1"/>
        <v>12280079.218217354</v>
      </c>
      <c r="N518">
        <f ca="1"/>
        <v>813059.92149276391</v>
      </c>
    </row>
    <row r="519" spans="7:14" x14ac:dyDescent="0.3">
      <c r="G519">
        <v>515</v>
      </c>
      <c r="H519" s="2" cm="1">
        <f t="array" aca="1" ref="H519:I5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11427945.187639778</v>
      </c>
      <c r="I519" s="3">
        <f ca="1"/>
        <v>8.9599876504946857E-2</v>
      </c>
      <c r="L519" s="1">
        <f ca="1"/>
        <v>896396.40236986964</v>
      </c>
      <c r="N519">
        <f ca="1"/>
        <v>9872244.1935955267</v>
      </c>
    </row>
    <row r="520" spans="7:14" x14ac:dyDescent="0.3">
      <c r="G520">
        <v>516</v>
      </c>
      <c r="H520" s="2" cm="1">
        <f t="array" aca="1" ref="H520:I5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8626349.6591369156</v>
      </c>
      <c r="I520" s="3">
        <f ca="1"/>
        <v>7.0543778062189449E-2</v>
      </c>
      <c r="L520" s="1">
        <f ca="1"/>
        <v>22311327.529347166</v>
      </c>
      <c r="N520">
        <f ca="1"/>
        <v>950249.89623213606</v>
      </c>
    </row>
    <row r="521" spans="7:14" x14ac:dyDescent="0.3">
      <c r="G521">
        <v>517</v>
      </c>
      <c r="H521" s="2" cm="1">
        <f t="array" aca="1" ref="H521:I5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1353570.8292103254</v>
      </c>
      <c r="I521" s="3">
        <f ca="1"/>
        <v>5.0716099793334656E-2</v>
      </c>
      <c r="L521" s="1">
        <f ca="1"/>
        <v>2340605.1009257603</v>
      </c>
      <c r="N521">
        <f ca="1"/>
        <v>0</v>
      </c>
    </row>
    <row r="522" spans="7:14" x14ac:dyDescent="0.3">
      <c r="G522">
        <v>518</v>
      </c>
      <c r="H522" s="2" cm="1">
        <f t="array" aca="1" ref="H522:I5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208529.77192107504</v>
      </c>
      <c r="I522" s="3">
        <f ca="1"/>
        <v>7.5258849031518055E-2</v>
      </c>
      <c r="L522" s="1">
        <f ca="1"/>
        <v>999866.91605578526</v>
      </c>
      <c r="N522">
        <f ca="1"/>
        <v>0</v>
      </c>
    </row>
    <row r="523" spans="7:14" x14ac:dyDescent="0.3">
      <c r="G523">
        <v>519</v>
      </c>
      <c r="H523" s="2" cm="1">
        <f t="array" aca="1" ref="H523:I5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23" s="3">
        <f ca="1"/>
        <v>4.3989898475859227E-2</v>
      </c>
      <c r="L523" s="1">
        <f ca="1"/>
        <v>8879358.4315514863</v>
      </c>
      <c r="N523">
        <f ca="1"/>
        <v>16565583.688919872</v>
      </c>
    </row>
    <row r="524" spans="7:14" x14ac:dyDescent="0.3">
      <c r="G524">
        <v>520</v>
      </c>
      <c r="H524" s="2" cm="1">
        <f t="array" aca="1" ref="H524:I5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3907719.8053868269</v>
      </c>
      <c r="I524" s="3">
        <f ca="1"/>
        <v>5.2184323989305427E-2</v>
      </c>
      <c r="L524" s="1">
        <f ca="1"/>
        <v>11041055.245024912</v>
      </c>
      <c r="N524">
        <f ca="1"/>
        <v>1302717.9194231767</v>
      </c>
    </row>
    <row r="525" spans="7:14" x14ac:dyDescent="0.3">
      <c r="G525">
        <v>521</v>
      </c>
      <c r="H525" s="2" cm="1">
        <f t="array" aca="1" ref="H525:I5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2721219.5388692725</v>
      </c>
      <c r="I525" s="3">
        <f ca="1"/>
        <v>5.942836921668785E-2</v>
      </c>
      <c r="L525" s="1">
        <f ca="1"/>
        <v>964836.41672205622</v>
      </c>
      <c r="N525">
        <f ca="1"/>
        <v>0</v>
      </c>
    </row>
    <row r="526" spans="7:14" x14ac:dyDescent="0.3">
      <c r="G526">
        <v>522</v>
      </c>
      <c r="H526" s="2" cm="1">
        <f t="array" aca="1" ref="H526:I5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2146156.8160111019</v>
      </c>
      <c r="I526" s="3">
        <f ca="1"/>
        <v>5.7382119113295917E-2</v>
      </c>
      <c r="L526" s="1">
        <f ca="1"/>
        <v>3002221.2654358186</v>
      </c>
      <c r="N526">
        <f ca="1"/>
        <v>0</v>
      </c>
    </row>
    <row r="527" spans="7:14" x14ac:dyDescent="0.3">
      <c r="G527">
        <v>523</v>
      </c>
      <c r="H527" s="2" cm="1">
        <f t="array" aca="1" ref="H527:I5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863412.78766395664</v>
      </c>
      <c r="I527" s="3">
        <f ca="1"/>
        <v>4.4103393976021907E-2</v>
      </c>
      <c r="L527" s="1">
        <f ca="1"/>
        <v>3042462.8495737989</v>
      </c>
      <c r="N527">
        <f ca="1"/>
        <v>1332029.9752921707</v>
      </c>
    </row>
    <row r="528" spans="7:14" x14ac:dyDescent="0.3">
      <c r="G528">
        <v>524</v>
      </c>
      <c r="H528" s="2" cm="1">
        <f t="array" aca="1" ref="H528:I5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590166.41724445345</v>
      </c>
      <c r="I528" s="3">
        <f ca="1"/>
        <v>5.9651406979039923E-2</v>
      </c>
      <c r="L528" s="1">
        <f ca="1"/>
        <v>2312394.9792765793</v>
      </c>
      <c r="N528">
        <f ca="1"/>
        <v>2869734.1856437568</v>
      </c>
    </row>
    <row r="529" spans="7:14" x14ac:dyDescent="0.3">
      <c r="G529">
        <v>525</v>
      </c>
      <c r="H529" s="2" cm="1">
        <f t="array" aca="1" ref="H529:I5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29" s="3">
        <f ca="1"/>
        <v>1.8166019895123214E-2</v>
      </c>
      <c r="L529" s="1">
        <f ca="1"/>
        <v>12937087.247905277</v>
      </c>
      <c r="N529">
        <f ca="1"/>
        <v>39112997.126538083</v>
      </c>
    </row>
    <row r="530" spans="7:14" x14ac:dyDescent="0.3">
      <c r="G530">
        <v>526</v>
      </c>
      <c r="H530" s="2" cm="1">
        <f t="array" aca="1" ref="H530:I5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445878.66009080014</v>
      </c>
      <c r="I530" s="3">
        <f ca="1"/>
        <v>4.1745624440990906E-2</v>
      </c>
      <c r="L530" s="1">
        <f ca="1"/>
        <v>2375545.4615214267</v>
      </c>
      <c r="N530">
        <f ca="1"/>
        <v>2316139.9909670465</v>
      </c>
    </row>
    <row r="531" spans="7:14" x14ac:dyDescent="0.3">
      <c r="G531">
        <v>527</v>
      </c>
      <c r="H531" s="2" cm="1">
        <f t="array" aca="1" ref="H531:I5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4763158.4376063496</v>
      </c>
      <c r="I531" s="3">
        <f ca="1"/>
        <v>6.0233930770322096E-2</v>
      </c>
      <c r="L531" s="1">
        <f ca="1"/>
        <v>17001230.26337247</v>
      </c>
      <c r="N531">
        <f ca="1"/>
        <v>0</v>
      </c>
    </row>
    <row r="532" spans="7:14" x14ac:dyDescent="0.3">
      <c r="G532">
        <v>528</v>
      </c>
      <c r="H532" s="2" cm="1">
        <f t="array" aca="1" ref="H532:I5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15333091.873254819</v>
      </c>
      <c r="I532" s="3">
        <f ca="1"/>
        <v>8.1609359857861927E-2</v>
      </c>
      <c r="L532" s="1">
        <f ca="1"/>
        <v>730885.6367946479</v>
      </c>
      <c r="N532">
        <f ca="1"/>
        <v>0</v>
      </c>
    </row>
    <row r="533" spans="7:14" x14ac:dyDescent="0.3">
      <c r="G533">
        <v>529</v>
      </c>
      <c r="H533" s="2" cm="1">
        <f t="array" aca="1" ref="H533:I5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33" s="3">
        <f ca="1"/>
        <v>2.6282909093086188E-2</v>
      </c>
      <c r="L533" s="1">
        <f ca="1"/>
        <v>4781339.1737345336</v>
      </c>
      <c r="N533">
        <f ca="1"/>
        <v>1776752.976087728</v>
      </c>
    </row>
    <row r="534" spans="7:14" x14ac:dyDescent="0.3">
      <c r="G534">
        <v>530</v>
      </c>
      <c r="H534" s="2" cm="1">
        <f t="array" aca="1" ref="H534:I5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8970395.663907703</v>
      </c>
      <c r="I534" s="3">
        <f ca="1"/>
        <v>7.7980033726403553E-2</v>
      </c>
      <c r="L534" s="1">
        <f ca="1"/>
        <v>1198667.5570567809</v>
      </c>
      <c r="N534">
        <f ca="1"/>
        <v>967559.33227386558</v>
      </c>
    </row>
    <row r="535" spans="7:14" x14ac:dyDescent="0.3">
      <c r="G535">
        <v>531</v>
      </c>
      <c r="H535" s="2" cm="1">
        <f t="array" aca="1" ref="H535:I5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9270549.6353212781</v>
      </c>
      <c r="I535" s="3">
        <f ca="1"/>
        <v>7.4088239076545936E-2</v>
      </c>
      <c r="L535" s="1">
        <f ca="1"/>
        <v>16623019.070002235</v>
      </c>
      <c r="N535">
        <f ca="1"/>
        <v>0</v>
      </c>
    </row>
    <row r="536" spans="7:14" x14ac:dyDescent="0.3">
      <c r="G536">
        <v>532</v>
      </c>
      <c r="H536" s="2" cm="1">
        <f t="array" aca="1" ref="H536:I5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34552.696644836658</v>
      </c>
      <c r="I536" s="3">
        <f ca="1"/>
        <v>5.7756488958707664E-2</v>
      </c>
      <c r="L536" s="1">
        <f ca="1"/>
        <v>4732823.9338954873</v>
      </c>
      <c r="N536">
        <f ca="1"/>
        <v>0</v>
      </c>
    </row>
    <row r="537" spans="7:14" x14ac:dyDescent="0.3">
      <c r="G537">
        <v>533</v>
      </c>
      <c r="H537" s="2" cm="1">
        <f t="array" aca="1" ref="H537:I5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7478850.664658051</v>
      </c>
      <c r="I537" s="3">
        <f ca="1"/>
        <v>7.7848322301780737E-2</v>
      </c>
      <c r="L537" s="1">
        <f ca="1"/>
        <v>360106.45218858658</v>
      </c>
      <c r="N537">
        <f ca="1"/>
        <v>2403878.9994763015</v>
      </c>
    </row>
    <row r="538" spans="7:14" x14ac:dyDescent="0.3">
      <c r="G538">
        <v>534</v>
      </c>
      <c r="H538" s="2" cm="1">
        <f t="array" aca="1" ref="H538:I5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229647.14958613893</v>
      </c>
      <c r="I538" s="3">
        <f ca="1"/>
        <v>4.352507138162294E-2</v>
      </c>
      <c r="L538" s="1">
        <f ca="1"/>
        <v>15376468.199883111</v>
      </c>
      <c r="N538">
        <f ca="1"/>
        <v>0</v>
      </c>
    </row>
    <row r="539" spans="7:14" x14ac:dyDescent="0.3">
      <c r="G539">
        <v>535</v>
      </c>
      <c r="H539" s="2" cm="1">
        <f t="array" aca="1" ref="H539:I5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930398.49978929735</v>
      </c>
      <c r="I539" s="3">
        <f ca="1"/>
        <v>3.7495859536562287E-2</v>
      </c>
      <c r="L539" s="1">
        <f ca="1"/>
        <v>0</v>
      </c>
      <c r="N539">
        <f ca="1"/>
        <v>2138451.5758166863</v>
      </c>
    </row>
    <row r="540" spans="7:14" x14ac:dyDescent="0.3">
      <c r="G540">
        <v>536</v>
      </c>
      <c r="H540" s="2" cm="1">
        <f t="array" aca="1" ref="H540:I5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2483362.6821807502</v>
      </c>
      <c r="I540" s="3">
        <f ca="1"/>
        <v>5.5177945398042251E-2</v>
      </c>
      <c r="L540" s="1">
        <f ca="1"/>
        <v>7577135.8267693203</v>
      </c>
      <c r="N540">
        <f ca="1"/>
        <v>384065.54447949235</v>
      </c>
    </row>
    <row r="541" spans="7:14" x14ac:dyDescent="0.3">
      <c r="G541">
        <v>537</v>
      </c>
      <c r="H541" s="2" cm="1">
        <f t="array" aca="1" ref="H541:I5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6036798.4575361069</v>
      </c>
      <c r="I541" s="3">
        <f ca="1"/>
        <v>6.8759085167038853E-2</v>
      </c>
      <c r="L541" s="1">
        <f ca="1"/>
        <v>2900651.7059463011</v>
      </c>
      <c r="N541">
        <f ca="1"/>
        <v>7298866.9522219151</v>
      </c>
    </row>
    <row r="542" spans="7:14" x14ac:dyDescent="0.3">
      <c r="G542">
        <v>538</v>
      </c>
      <c r="H542" s="2" cm="1">
        <f t="array" aca="1" ref="H542:I5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4140562.9936294332</v>
      </c>
      <c r="I542" s="3">
        <f ca="1"/>
        <v>6.2983921919407937E-2</v>
      </c>
      <c r="L542" s="1">
        <f ca="1"/>
        <v>302610.36584675469</v>
      </c>
      <c r="N542">
        <f ca="1"/>
        <v>1354785.1642697754</v>
      </c>
    </row>
    <row r="543" spans="7:14" x14ac:dyDescent="0.3">
      <c r="G543">
        <v>539</v>
      </c>
      <c r="H543" s="2" cm="1">
        <f t="array" aca="1" ref="H543:I5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7197855.9892102024</v>
      </c>
      <c r="I543" s="3">
        <f ca="1"/>
        <v>6.6663383099870424E-2</v>
      </c>
      <c r="L543" s="1">
        <f ca="1"/>
        <v>834851.83186763199</v>
      </c>
      <c r="N543">
        <f ca="1"/>
        <v>8049486.5087313969</v>
      </c>
    </row>
    <row r="544" spans="7:14" x14ac:dyDescent="0.3">
      <c r="G544">
        <v>540</v>
      </c>
      <c r="H544" s="2" cm="1">
        <f t="array" aca="1" ref="H544:I5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4908754.2073822347</v>
      </c>
      <c r="I544" s="3">
        <f ca="1"/>
        <v>6.9476838158785664E-2</v>
      </c>
      <c r="L544" s="1">
        <f ca="1"/>
        <v>24883626.98838982</v>
      </c>
      <c r="N544">
        <f ca="1"/>
        <v>5796955.0741645442</v>
      </c>
    </row>
    <row r="545" spans="7:14" x14ac:dyDescent="0.3">
      <c r="G545">
        <v>541</v>
      </c>
      <c r="H545" s="2" cm="1">
        <f t="array" aca="1" ref="H545:I5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45" s="3">
        <f ca="1"/>
        <v>3.8544911009759958E-2</v>
      </c>
      <c r="L545" s="1">
        <f ca="1"/>
        <v>0</v>
      </c>
      <c r="N545">
        <f ca="1"/>
        <v>10701407.852132982</v>
      </c>
    </row>
    <row r="546" spans="7:14" x14ac:dyDescent="0.3">
      <c r="G546">
        <v>542</v>
      </c>
      <c r="H546" s="2" cm="1">
        <f t="array" aca="1" ref="H546:I5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11986677.993160434</v>
      </c>
      <c r="I546" s="3">
        <f ca="1"/>
        <v>7.5189457829509851E-2</v>
      </c>
      <c r="L546" s="1">
        <f ca="1"/>
        <v>6869706.4834591327</v>
      </c>
      <c r="N546">
        <f ca="1"/>
        <v>0</v>
      </c>
    </row>
    <row r="547" spans="7:14" x14ac:dyDescent="0.3">
      <c r="G547">
        <v>543</v>
      </c>
      <c r="H547" s="2" cm="1">
        <f t="array" aca="1" ref="H547:I5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16724509.154764462</v>
      </c>
      <c r="I547" s="3">
        <f ca="1"/>
        <v>8.7592964967956002E-2</v>
      </c>
      <c r="L547" s="1">
        <f ca="1"/>
        <v>0</v>
      </c>
      <c r="N547">
        <f ca="1"/>
        <v>6095262.1669877572</v>
      </c>
    </row>
    <row r="548" spans="7:14" x14ac:dyDescent="0.3">
      <c r="G548">
        <v>544</v>
      </c>
      <c r="H548" s="2" cm="1">
        <f t="array" aca="1" ref="H548:I5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3209870.8717210679</v>
      </c>
      <c r="I548" s="3">
        <f ca="1"/>
        <v>5.4562345818446781E-2</v>
      </c>
      <c r="L548" s="1">
        <f ca="1"/>
        <v>294690.12122539809</v>
      </c>
      <c r="N548">
        <f ca="1"/>
        <v>19961490.105930422</v>
      </c>
    </row>
    <row r="549" spans="7:14" x14ac:dyDescent="0.3">
      <c r="G549">
        <v>545</v>
      </c>
      <c r="H549" s="2" cm="1">
        <f t="array" aca="1" ref="H549:I5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668753.51500634279</v>
      </c>
      <c r="I549" s="3">
        <f ca="1"/>
        <v>4.5683763729488604E-2</v>
      </c>
      <c r="L549" s="1">
        <f ca="1"/>
        <v>120225.34582442693</v>
      </c>
      <c r="N549">
        <f ca="1"/>
        <v>0</v>
      </c>
    </row>
    <row r="550" spans="7:14" x14ac:dyDescent="0.3">
      <c r="G550">
        <v>546</v>
      </c>
      <c r="H550" s="2" cm="1">
        <f t="array" aca="1" ref="H550:I5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50" s="3">
        <f ca="1"/>
        <v>2.9146335816823939E-3</v>
      </c>
      <c r="L550" s="1">
        <f ca="1"/>
        <v>476490.71083559055</v>
      </c>
      <c r="N550">
        <f ca="1"/>
        <v>3482630.8280863538</v>
      </c>
    </row>
    <row r="551" spans="7:14" x14ac:dyDescent="0.3">
      <c r="G551">
        <v>547</v>
      </c>
      <c r="H551" s="2" cm="1">
        <f t="array" aca="1" ref="H551:I5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7822682.0181093682</v>
      </c>
      <c r="I551" s="3">
        <f ca="1"/>
        <v>7.0937606473045603E-2</v>
      </c>
      <c r="L551" s="1">
        <f ca="1"/>
        <v>2532052.4857017957</v>
      </c>
      <c r="N551">
        <f ca="1"/>
        <v>1063461.2801980861</v>
      </c>
    </row>
    <row r="552" spans="7:14" x14ac:dyDescent="0.3">
      <c r="G552">
        <v>548</v>
      </c>
      <c r="H552" s="2" cm="1">
        <f t="array" aca="1" ref="H552:I5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52" s="3">
        <f ca="1"/>
        <v>7.4828065250503562E-2</v>
      </c>
      <c r="L552" s="1">
        <f ca="1"/>
        <v>6497704.3034812771</v>
      </c>
      <c r="N552">
        <f ca="1"/>
        <v>8309319.1557193622</v>
      </c>
    </row>
    <row r="553" spans="7:14" x14ac:dyDescent="0.3">
      <c r="G553">
        <v>549</v>
      </c>
      <c r="H553" s="2" cm="1">
        <f t="array" aca="1" ref="H553:I5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30349327.30495159</v>
      </c>
      <c r="I553" s="3">
        <f ca="1"/>
        <v>9.6861146111325597E-2</v>
      </c>
      <c r="L553" s="1">
        <f ca="1"/>
        <v>3282298.6076732413</v>
      </c>
      <c r="N553">
        <f ca="1"/>
        <v>10749931.929434219</v>
      </c>
    </row>
    <row r="554" spans="7:14" x14ac:dyDescent="0.3">
      <c r="G554">
        <v>550</v>
      </c>
      <c r="H554" s="2" cm="1">
        <f t="array" aca="1" ref="H554:I5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10154437.719414696</v>
      </c>
      <c r="I554" s="3">
        <f ca="1"/>
        <v>8.1995514222383548E-2</v>
      </c>
      <c r="L554" s="1">
        <f ca="1"/>
        <v>1519067.6492540094</v>
      </c>
      <c r="N554">
        <f ca="1"/>
        <v>0</v>
      </c>
    </row>
    <row r="555" spans="7:14" x14ac:dyDescent="0.3">
      <c r="G555">
        <v>551</v>
      </c>
      <c r="H555" s="2" cm="1">
        <f t="array" aca="1" ref="H555:I5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4235128.7220065994</v>
      </c>
      <c r="I555" s="3">
        <f ca="1"/>
        <v>5.7135316017371471E-2</v>
      </c>
      <c r="L555" s="1">
        <f ca="1"/>
        <v>17980139.932207827</v>
      </c>
      <c r="N555">
        <f ca="1"/>
        <v>4744086.2538035093</v>
      </c>
    </row>
    <row r="556" spans="7:14" x14ac:dyDescent="0.3">
      <c r="G556">
        <v>552</v>
      </c>
      <c r="H556" s="2" cm="1">
        <f t="array" aca="1" ref="H556:I5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5652532.0442861887</v>
      </c>
      <c r="I556" s="3">
        <f ca="1"/>
        <v>6.4196024012628972E-2</v>
      </c>
      <c r="L556" s="1">
        <f ca="1"/>
        <v>7176344.7994850436</v>
      </c>
      <c r="N556">
        <f ca="1"/>
        <v>1059510.38675474</v>
      </c>
    </row>
    <row r="557" spans="7:14" x14ac:dyDescent="0.3">
      <c r="G557">
        <v>553</v>
      </c>
      <c r="H557" s="2" cm="1">
        <f t="array" aca="1" ref="H557:I5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57" s="3">
        <f ca="1"/>
        <v>3.9027898973039765E-2</v>
      </c>
      <c r="L557" s="1">
        <f ca="1"/>
        <v>0</v>
      </c>
      <c r="N557">
        <f ca="1"/>
        <v>217082.53215916024</v>
      </c>
    </row>
    <row r="558" spans="7:14" x14ac:dyDescent="0.3">
      <c r="G558">
        <v>554</v>
      </c>
      <c r="H558" s="2" cm="1">
        <f t="array" aca="1" ref="H558:I5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58" s="3">
        <f ca="1"/>
        <v>2.1579278189465794E-2</v>
      </c>
      <c r="L558" s="1">
        <f ca="1"/>
        <v>12395807.936544042</v>
      </c>
      <c r="N558">
        <f ca="1"/>
        <v>0</v>
      </c>
    </row>
    <row r="559" spans="7:14" x14ac:dyDescent="0.3">
      <c r="G559">
        <v>555</v>
      </c>
      <c r="H559" s="2" cm="1">
        <f t="array" aca="1" ref="H559:I5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17178176.207194455</v>
      </c>
      <c r="I559" s="3">
        <f ca="1"/>
        <v>9.2917349184138562E-2</v>
      </c>
      <c r="L559" s="1">
        <f ca="1"/>
        <v>2720856.8763631703</v>
      </c>
      <c r="N559">
        <f ca="1"/>
        <v>927652.18104385224</v>
      </c>
    </row>
    <row r="560" spans="7:14" x14ac:dyDescent="0.3">
      <c r="G560">
        <v>556</v>
      </c>
      <c r="H560" s="2" cm="1">
        <f t="array" aca="1" ref="H560:I5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6059246.3309822632</v>
      </c>
      <c r="I560" s="3">
        <f ca="1"/>
        <v>6.6206243773529322E-2</v>
      </c>
      <c r="L560" s="1">
        <f ca="1"/>
        <v>906511.02840639872</v>
      </c>
      <c r="N560">
        <f ca="1"/>
        <v>6182892.2508186596</v>
      </c>
    </row>
    <row r="561" spans="7:14" x14ac:dyDescent="0.3">
      <c r="G561">
        <v>557</v>
      </c>
      <c r="H561" s="2" cm="1">
        <f t="array" aca="1" ref="H561:I5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11247244.786115842</v>
      </c>
      <c r="I561" s="3">
        <f ca="1"/>
        <v>8.9943938456901767E-2</v>
      </c>
      <c r="L561" s="1">
        <f ca="1"/>
        <v>0</v>
      </c>
      <c r="N561">
        <f ca="1"/>
        <v>4434920.4327759296</v>
      </c>
    </row>
    <row r="562" spans="7:14" x14ac:dyDescent="0.3">
      <c r="G562">
        <v>558</v>
      </c>
      <c r="H562" s="2" cm="1">
        <f t="array" aca="1" ref="H562:I5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6235311.3395447936</v>
      </c>
      <c r="I562" s="3">
        <f ca="1"/>
        <v>7.6783512125027154E-2</v>
      </c>
      <c r="L562" s="1">
        <f ca="1"/>
        <v>190738.59273139131</v>
      </c>
      <c r="N562">
        <f ca="1"/>
        <v>1558913.9389184748</v>
      </c>
    </row>
    <row r="563" spans="7:14" x14ac:dyDescent="0.3">
      <c r="G563">
        <v>559</v>
      </c>
      <c r="H563" s="2" cm="1">
        <f t="array" aca="1" ref="H563:I5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10621062.387010887</v>
      </c>
      <c r="I563" s="3">
        <f ca="1"/>
        <v>7.9121920862634101E-2</v>
      </c>
      <c r="L563" s="1">
        <f ca="1"/>
        <v>1144457.880899213</v>
      </c>
      <c r="N563">
        <f ca="1"/>
        <v>9840643.9838234577</v>
      </c>
    </row>
    <row r="564" spans="7:14" x14ac:dyDescent="0.3">
      <c r="G564">
        <v>560</v>
      </c>
      <c r="H564" s="2" cm="1">
        <f t="array" aca="1" ref="H564:I5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3535595.9359975434</v>
      </c>
      <c r="I564" s="3">
        <f ca="1"/>
        <v>6.7001288665114678E-2</v>
      </c>
      <c r="L564" s="1">
        <f ca="1"/>
        <v>6898444.2546098037</v>
      </c>
      <c r="N564">
        <f ca="1"/>
        <v>795287.82751192816</v>
      </c>
    </row>
    <row r="565" spans="7:14" x14ac:dyDescent="0.3">
      <c r="G565">
        <v>561</v>
      </c>
      <c r="H565" s="2" cm="1">
        <f t="array" aca="1" ref="H565:I5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8255292.4835271183</v>
      </c>
      <c r="I565" s="3">
        <f ca="1"/>
        <v>7.5165568545933731E-2</v>
      </c>
      <c r="L565" s="1">
        <f ca="1"/>
        <v>7595614.3403105503</v>
      </c>
      <c r="N565">
        <f ca="1"/>
        <v>21662539.62169718</v>
      </c>
    </row>
    <row r="566" spans="7:14" x14ac:dyDescent="0.3">
      <c r="G566">
        <v>562</v>
      </c>
      <c r="H566" s="2" cm="1">
        <f t="array" aca="1" ref="H566:I5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23291862.323222145</v>
      </c>
      <c r="I566" s="3">
        <f ca="1"/>
        <v>9.7923246544939668E-2</v>
      </c>
      <c r="L566" s="1">
        <f ca="1"/>
        <v>2973383.918269088</v>
      </c>
      <c r="N566">
        <f ca="1"/>
        <v>937894.69419555576</v>
      </c>
    </row>
    <row r="567" spans="7:14" x14ac:dyDescent="0.3">
      <c r="G567">
        <v>563</v>
      </c>
      <c r="H567" s="2" cm="1">
        <f t="array" aca="1" ref="H567:I5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6067826.8792905547</v>
      </c>
      <c r="I567" s="3">
        <f ca="1"/>
        <v>6.2890834206676932E-2</v>
      </c>
      <c r="L567" s="1">
        <f ca="1"/>
        <v>0</v>
      </c>
      <c r="N567">
        <f ca="1"/>
        <v>422361.2153857841</v>
      </c>
    </row>
    <row r="568" spans="7:14" x14ac:dyDescent="0.3">
      <c r="G568">
        <v>564</v>
      </c>
      <c r="H568" s="2" cm="1">
        <f t="array" aca="1" ref="H568:I5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482104.06946906925</v>
      </c>
      <c r="I568" s="3">
        <f ca="1"/>
        <v>5.0342616694122877E-2</v>
      </c>
      <c r="L568" s="1">
        <f ca="1"/>
        <v>2997136.3309336514</v>
      </c>
      <c r="N568">
        <f ca="1"/>
        <v>0</v>
      </c>
    </row>
    <row r="569" spans="7:14" x14ac:dyDescent="0.3">
      <c r="G569">
        <v>565</v>
      </c>
      <c r="H569" s="2" cm="1">
        <f t="array" aca="1" ref="H569:I5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4751264.0861611841</v>
      </c>
      <c r="I569" s="3">
        <f ca="1"/>
        <v>6.9072465165643554E-2</v>
      </c>
      <c r="L569" s="1">
        <f ca="1"/>
        <v>589705.79507157276</v>
      </c>
      <c r="N569">
        <f ca="1"/>
        <v>77638531.064966664</v>
      </c>
    </row>
    <row r="570" spans="7:14" x14ac:dyDescent="0.3">
      <c r="G570">
        <v>566</v>
      </c>
      <c r="H570" s="2" cm="1">
        <f t="array" aca="1" ref="H570:I5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772022.33204344125</v>
      </c>
      <c r="I570" s="3">
        <f ca="1"/>
        <v>5.6378824445568611E-2</v>
      </c>
      <c r="L570" s="1">
        <f ca="1"/>
        <v>677684.27804279677</v>
      </c>
      <c r="N570">
        <f ca="1"/>
        <v>133104.81008881616</v>
      </c>
    </row>
    <row r="571" spans="7:14" x14ac:dyDescent="0.3">
      <c r="G571">
        <v>567</v>
      </c>
      <c r="H571" s="2" cm="1">
        <f t="array" aca="1" ref="H571:I5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71" s="3">
        <f ca="1"/>
        <v>1.3826605169543434E-3</v>
      </c>
      <c r="L571" s="1">
        <f ca="1"/>
        <v>1050429.4635006492</v>
      </c>
      <c r="N571">
        <f ca="1"/>
        <v>6223396.9958351329</v>
      </c>
    </row>
    <row r="572" spans="7:14" x14ac:dyDescent="0.3">
      <c r="G572">
        <v>568</v>
      </c>
      <c r="H572" s="2" cm="1">
        <f t="array" aca="1" ref="H572:I5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19416123.851341367</v>
      </c>
      <c r="I572" s="3">
        <f ca="1"/>
        <v>8.7620854411508603E-2</v>
      </c>
      <c r="L572" s="1">
        <f ca="1"/>
        <v>9719861.8732440956</v>
      </c>
      <c r="N572">
        <f ca="1"/>
        <v>0</v>
      </c>
    </row>
    <row r="573" spans="7:14" x14ac:dyDescent="0.3">
      <c r="G573">
        <v>569</v>
      </c>
      <c r="H573" s="2" cm="1">
        <f t="array" aca="1" ref="H573:I5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12109163.452895071</v>
      </c>
      <c r="I573" s="3">
        <f ca="1"/>
        <v>8.3605544805030116E-2</v>
      </c>
      <c r="L573" s="1">
        <f ca="1"/>
        <v>0</v>
      </c>
      <c r="N573">
        <f ca="1"/>
        <v>3159678.5473870765</v>
      </c>
    </row>
    <row r="574" spans="7:14" x14ac:dyDescent="0.3">
      <c r="G574">
        <v>570</v>
      </c>
      <c r="H574" s="2" cm="1">
        <f t="array" aca="1" ref="H574:I5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1133211.3616917185</v>
      </c>
      <c r="I574" s="3">
        <f ca="1"/>
        <v>5.4216771337890955E-2</v>
      </c>
      <c r="L574" s="1">
        <f ca="1"/>
        <v>0</v>
      </c>
      <c r="N574">
        <f ca="1"/>
        <v>5104043.3070759317</v>
      </c>
    </row>
    <row r="575" spans="7:14" x14ac:dyDescent="0.3">
      <c r="G575">
        <v>571</v>
      </c>
      <c r="H575" s="2" cm="1">
        <f t="array" aca="1" ref="H575:I5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3598190.3006321201</v>
      </c>
      <c r="I575" s="3">
        <f ca="1"/>
        <v>7.5837296940873225E-2</v>
      </c>
      <c r="L575" s="1">
        <f ca="1"/>
        <v>1183018.254359965</v>
      </c>
      <c r="N575">
        <f ca="1"/>
        <v>6489368.3264596639</v>
      </c>
    </row>
    <row r="576" spans="7:14" x14ac:dyDescent="0.3">
      <c r="G576">
        <v>572</v>
      </c>
      <c r="H576" s="2" cm="1">
        <f t="array" aca="1" ref="H576:I5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8253814.314735407</v>
      </c>
      <c r="I576" s="3">
        <f ca="1"/>
        <v>7.4174701114714206E-2</v>
      </c>
      <c r="L576" s="1">
        <f ca="1"/>
        <v>10417817.803438917</v>
      </c>
      <c r="N576">
        <f ca="1"/>
        <v>16092072.206465155</v>
      </c>
    </row>
    <row r="577" spans="7:14" x14ac:dyDescent="0.3">
      <c r="G577">
        <v>573</v>
      </c>
      <c r="H577" s="2" cm="1">
        <f t="array" aca="1" ref="H577:I5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630820.28033693181</v>
      </c>
      <c r="I577" s="3">
        <f ca="1"/>
        <v>5.4776199233893673E-2</v>
      </c>
      <c r="L577" s="1">
        <f ca="1"/>
        <v>4591596.3816246884</v>
      </c>
      <c r="N577">
        <f ca="1"/>
        <v>0</v>
      </c>
    </row>
    <row r="578" spans="7:14" x14ac:dyDescent="0.3">
      <c r="G578">
        <v>574</v>
      </c>
      <c r="H578" s="2" cm="1">
        <f t="array" aca="1" ref="H578:I5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4943086.1779031819</v>
      </c>
      <c r="I578" s="3">
        <f ca="1"/>
        <v>8.0677323749600766E-2</v>
      </c>
      <c r="L578" s="1">
        <f ca="1"/>
        <v>25609573.225851204</v>
      </c>
      <c r="N578">
        <f ca="1"/>
        <v>408872.6758298825</v>
      </c>
    </row>
    <row r="579" spans="7:14" x14ac:dyDescent="0.3">
      <c r="G579">
        <v>575</v>
      </c>
      <c r="H579" s="2" cm="1">
        <f t="array" aca="1" ref="H579:I5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79" s="3">
        <f ca="1"/>
        <v>5.1819504106099076E-2</v>
      </c>
      <c r="L579" s="1">
        <f ca="1"/>
        <v>472465.21888567921</v>
      </c>
      <c r="N579">
        <f ca="1"/>
        <v>10253287.575882766</v>
      </c>
    </row>
    <row r="580" spans="7:14" x14ac:dyDescent="0.3">
      <c r="G580">
        <v>576</v>
      </c>
      <c r="H580" s="2" cm="1">
        <f t="array" aca="1" ref="H580:I5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28954627.816277519</v>
      </c>
      <c r="I580" s="3">
        <f ca="1"/>
        <v>0.10201126503032598</v>
      </c>
      <c r="L580" s="1">
        <f ca="1"/>
        <v>975118.05875803577</v>
      </c>
      <c r="N580">
        <f ca="1"/>
        <v>2877482.0232124189</v>
      </c>
    </row>
    <row r="581" spans="7:14" x14ac:dyDescent="0.3">
      <c r="G581">
        <v>577</v>
      </c>
      <c r="H581" s="2" cm="1">
        <f t="array" aca="1" ref="H581:I5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81" s="3">
        <f ca="1"/>
        <v>2.6377273616225948E-2</v>
      </c>
      <c r="L581" s="1">
        <f ca="1"/>
        <v>3588467.028763826</v>
      </c>
      <c r="N581">
        <f ca="1"/>
        <v>0</v>
      </c>
    </row>
    <row r="582" spans="7:14" x14ac:dyDescent="0.3">
      <c r="G582">
        <v>578</v>
      </c>
      <c r="H582" s="2" cm="1">
        <f t="array" aca="1" ref="H582:I5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915322.31986421964</v>
      </c>
      <c r="I582" s="3">
        <f ca="1"/>
        <v>6.4229916803638959E-2</v>
      </c>
      <c r="L582" s="1">
        <f ca="1"/>
        <v>561225.18034597312</v>
      </c>
      <c r="N582">
        <f ca="1"/>
        <v>116262738.16330391</v>
      </c>
    </row>
    <row r="583" spans="7:14" x14ac:dyDescent="0.3">
      <c r="G583">
        <v>579</v>
      </c>
      <c r="H583" s="2" cm="1">
        <f t="array" aca="1" ref="H583:I5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345243.02146422176</v>
      </c>
      <c r="I583" s="3">
        <f ca="1"/>
        <v>4.8987165332015511E-2</v>
      </c>
      <c r="L583" s="1">
        <f ca="1"/>
        <v>1922221.4312240831</v>
      </c>
      <c r="N583">
        <f ca="1"/>
        <v>3360149.6143289027</v>
      </c>
    </row>
    <row r="584" spans="7:14" x14ac:dyDescent="0.3">
      <c r="G584">
        <v>580</v>
      </c>
      <c r="H584" s="2" cm="1">
        <f t="array" aca="1" ref="H584:I5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84" s="3">
        <f ca="1"/>
        <v>4.8959201802556529E-2</v>
      </c>
      <c r="L584" s="1">
        <f ca="1"/>
        <v>29141364.445691869</v>
      </c>
      <c r="N584">
        <f ca="1"/>
        <v>19960570.515122443</v>
      </c>
    </row>
    <row r="585" spans="7:14" x14ac:dyDescent="0.3">
      <c r="G585">
        <v>581</v>
      </c>
      <c r="H585" s="2" cm="1">
        <f t="array" aca="1" ref="H585:I5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11702603.69401361</v>
      </c>
      <c r="I585" s="3">
        <f ca="1"/>
        <v>7.8634955395443878E-2</v>
      </c>
      <c r="L585" s="1">
        <f ca="1"/>
        <v>9582700.8723017946</v>
      </c>
      <c r="N585">
        <f ca="1"/>
        <v>0</v>
      </c>
    </row>
    <row r="586" spans="7:14" x14ac:dyDescent="0.3">
      <c r="G586">
        <v>582</v>
      </c>
      <c r="H586" s="2" cm="1">
        <f t="array" aca="1" ref="H586:I5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5962300.2757464983</v>
      </c>
      <c r="I586" s="3">
        <f ca="1"/>
        <v>6.855163129535323E-2</v>
      </c>
      <c r="L586" s="1">
        <f ca="1"/>
        <v>0</v>
      </c>
      <c r="N586">
        <f ca="1"/>
        <v>28496225.08848384</v>
      </c>
    </row>
    <row r="587" spans="7:14" x14ac:dyDescent="0.3">
      <c r="G587">
        <v>583</v>
      </c>
      <c r="H587" s="2" cm="1">
        <f t="array" aca="1" ref="H587:I5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4455411.3333201539</v>
      </c>
      <c r="I587" s="3">
        <f ca="1"/>
        <v>6.918874612824423E-2</v>
      </c>
      <c r="L587" s="1">
        <f ca="1"/>
        <v>2131004.4963473021</v>
      </c>
      <c r="N587">
        <f ca="1"/>
        <v>0</v>
      </c>
    </row>
    <row r="588" spans="7:14" x14ac:dyDescent="0.3">
      <c r="G588">
        <v>584</v>
      </c>
      <c r="H588" s="2" cm="1">
        <f t="array" aca="1" ref="H588:I5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7274740.2986411322</v>
      </c>
      <c r="I588" s="3">
        <f ca="1"/>
        <v>6.9698850424763634E-2</v>
      </c>
      <c r="L588" s="1">
        <f ca="1"/>
        <v>5043797.6603653105</v>
      </c>
      <c r="N588">
        <f ca="1"/>
        <v>9968620.1900562048</v>
      </c>
    </row>
    <row r="589" spans="7:14" x14ac:dyDescent="0.3">
      <c r="G589">
        <v>585</v>
      </c>
      <c r="H589" s="2" cm="1">
        <f t="array" aca="1" ref="H589:I5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89" s="3">
        <f ca="1"/>
        <v>2.7375815893080486E-2</v>
      </c>
      <c r="L589" s="1">
        <f ca="1"/>
        <v>3872759.2601281069</v>
      </c>
      <c r="N589">
        <f ca="1"/>
        <v>0</v>
      </c>
    </row>
    <row r="590" spans="7:14" x14ac:dyDescent="0.3">
      <c r="G590">
        <v>586</v>
      </c>
      <c r="H590" s="2" cm="1">
        <f t="array" aca="1" ref="H590:I5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2445217.363083601</v>
      </c>
      <c r="I590" s="3">
        <f ca="1"/>
        <v>5.6126484381278909E-2</v>
      </c>
      <c r="L590" s="1">
        <f ca="1"/>
        <v>4479599.2347119814</v>
      </c>
      <c r="N590">
        <f ca="1"/>
        <v>4748275.1742355004</v>
      </c>
    </row>
    <row r="591" spans="7:14" x14ac:dyDescent="0.3">
      <c r="G591">
        <v>587</v>
      </c>
      <c r="H591" s="2" cm="1">
        <f t="array" aca="1" ref="H591:I5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91" s="3">
        <f ca="1"/>
        <v>3.237482794208571E-2</v>
      </c>
      <c r="L591" s="1">
        <f ca="1"/>
        <v>2904097.2175417584</v>
      </c>
      <c r="N591">
        <f ca="1"/>
        <v>0</v>
      </c>
    </row>
    <row r="592" spans="7:14" x14ac:dyDescent="0.3">
      <c r="G592">
        <v>588</v>
      </c>
      <c r="H592" s="2" cm="1">
        <f t="array" aca="1" ref="H592:I5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531830.32088899182</v>
      </c>
      <c r="I592" s="3">
        <f ca="1"/>
        <v>4.9363748922146032E-2</v>
      </c>
      <c r="L592" s="1">
        <f ca="1"/>
        <v>1635461.297162503</v>
      </c>
      <c r="N592">
        <f ca="1"/>
        <v>2605889.973932209</v>
      </c>
    </row>
    <row r="593" spans="7:14" x14ac:dyDescent="0.3">
      <c r="G593">
        <v>589</v>
      </c>
      <c r="H593" s="2" cm="1">
        <f t="array" aca="1" ref="H593:I5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30480887.158040401</v>
      </c>
      <c r="I593" s="3">
        <f ca="1"/>
        <v>9.7690595012436765E-2</v>
      </c>
      <c r="L593" s="1">
        <f ca="1"/>
        <v>0</v>
      </c>
      <c r="N593">
        <f ca="1"/>
        <v>4139479.225769232</v>
      </c>
    </row>
    <row r="594" spans="7:14" x14ac:dyDescent="0.3">
      <c r="G594">
        <v>590</v>
      </c>
      <c r="H594" s="2" cm="1">
        <f t="array" aca="1" ref="H594:I5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5703159.121333465</v>
      </c>
      <c r="I594" s="3">
        <f ca="1"/>
        <v>6.2227380406986742E-2</v>
      </c>
      <c r="L594" s="1">
        <f ca="1"/>
        <v>15874203.279821916</v>
      </c>
      <c r="N594">
        <f ca="1"/>
        <v>2935609.9195230249</v>
      </c>
    </row>
    <row r="595" spans="7:14" x14ac:dyDescent="0.3">
      <c r="G595">
        <v>591</v>
      </c>
      <c r="H595" s="2" cm="1">
        <f t="array" aca="1" ref="H595:I5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2906556.1645845762</v>
      </c>
      <c r="I595" s="3">
        <f ca="1"/>
        <v>5.9337397760772029E-2</v>
      </c>
      <c r="L595" s="1">
        <f ca="1"/>
        <v>224716.49087016867</v>
      </c>
      <c r="N595">
        <f ca="1"/>
        <v>2938695.5712512904</v>
      </c>
    </row>
    <row r="596" spans="7:14" x14ac:dyDescent="0.3">
      <c r="G596">
        <v>592</v>
      </c>
      <c r="H596" s="2" cm="1">
        <f t="array" aca="1" ref="H596:I5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4161667.0739543457</v>
      </c>
      <c r="I596" s="3">
        <f ca="1"/>
        <v>6.2342886182250368E-2</v>
      </c>
      <c r="L596" s="1">
        <f ca="1"/>
        <v>8316102.4486078797</v>
      </c>
      <c r="N596">
        <f ca="1"/>
        <v>18210044.94132515</v>
      </c>
    </row>
    <row r="597" spans="7:14" x14ac:dyDescent="0.3">
      <c r="G597">
        <v>593</v>
      </c>
      <c r="H597" s="2" cm="1">
        <f t="array" aca="1" ref="H597:I5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2160671.2976487703</v>
      </c>
      <c r="I597" s="3">
        <f ca="1"/>
        <v>4.3674240684722157E-2</v>
      </c>
      <c r="L597" s="1">
        <f ca="1"/>
        <v>18722176.536362529</v>
      </c>
      <c r="N597">
        <f ca="1"/>
        <v>0</v>
      </c>
    </row>
    <row r="598" spans="7:14" x14ac:dyDescent="0.3">
      <c r="G598">
        <v>594</v>
      </c>
      <c r="H598" s="2" cm="1">
        <f t="array" aca="1" ref="H598:I5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598" s="3">
        <f ca="1"/>
        <v>2.1259478871897421E-2</v>
      </c>
      <c r="L598" s="1">
        <f ca="1"/>
        <v>8247455.5629685447</v>
      </c>
      <c r="N598">
        <f ca="1"/>
        <v>2095562.2678536298</v>
      </c>
    </row>
    <row r="599" spans="7:14" x14ac:dyDescent="0.3">
      <c r="G599">
        <v>595</v>
      </c>
      <c r="H599" s="2" cm="1">
        <f t="array" aca="1" ref="H599:I5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8404886.5541891698</v>
      </c>
      <c r="I599" s="3">
        <f ca="1"/>
        <v>7.2643683528297573E-2</v>
      </c>
      <c r="L599" s="1">
        <f ca="1"/>
        <v>18625088.249913726</v>
      </c>
      <c r="N599">
        <f ca="1"/>
        <v>0</v>
      </c>
    </row>
    <row r="600" spans="7:14" x14ac:dyDescent="0.3">
      <c r="G600">
        <v>596</v>
      </c>
      <c r="H600" s="2" cm="1">
        <f t="array" aca="1" ref="H600:I6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104953317.50453061</v>
      </c>
      <c r="I600" s="3">
        <f ca="1"/>
        <v>0.13214639931168917</v>
      </c>
      <c r="L600" s="1">
        <f ca="1"/>
        <v>21791.496356836331</v>
      </c>
      <c r="N600">
        <f ca="1"/>
        <v>22633140.403834663</v>
      </c>
    </row>
    <row r="601" spans="7:14" x14ac:dyDescent="0.3">
      <c r="G601">
        <v>597</v>
      </c>
      <c r="H601" s="2" cm="1">
        <f t="array" aca="1" ref="H601:I6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01" s="3">
        <f ca="1"/>
        <v>2.4781241854723312E-2</v>
      </c>
      <c r="L601" s="1">
        <f ca="1"/>
        <v>5716629.4402209762</v>
      </c>
      <c r="N601">
        <f ca="1"/>
        <v>1171810.8099364198</v>
      </c>
    </row>
    <row r="602" spans="7:14" x14ac:dyDescent="0.3">
      <c r="G602">
        <v>598</v>
      </c>
      <c r="H602" s="2" cm="1">
        <f t="array" aca="1" ref="H602:I6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02" s="3">
        <f ca="1"/>
        <v>1.2929807796877097E-2</v>
      </c>
      <c r="L602" s="1">
        <f ca="1"/>
        <v>240773.78539389028</v>
      </c>
      <c r="N602">
        <f ca="1"/>
        <v>7441047.0123728309</v>
      </c>
    </row>
    <row r="603" spans="7:14" x14ac:dyDescent="0.3">
      <c r="G603">
        <v>599</v>
      </c>
      <c r="H603" s="2" cm="1">
        <f t="array" aca="1" ref="H603:I6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03" s="3">
        <f ca="1"/>
        <v>2.1294987211204153E-2</v>
      </c>
      <c r="L603" s="1">
        <f ca="1"/>
        <v>0</v>
      </c>
      <c r="N603">
        <f ca="1"/>
        <v>3788674.7885659393</v>
      </c>
    </row>
    <row r="604" spans="7:14" x14ac:dyDescent="0.3">
      <c r="G604">
        <v>600</v>
      </c>
      <c r="H604" s="2" cm="1">
        <f t="array" aca="1" ref="H604:I6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23299031.351208899</v>
      </c>
      <c r="I604" s="3">
        <f ca="1"/>
        <v>9.4462381171488002E-2</v>
      </c>
      <c r="L604" s="1">
        <f ca="1"/>
        <v>1727181.2131900906</v>
      </c>
      <c r="N604">
        <f ca="1"/>
        <v>2882017.4670243701</v>
      </c>
    </row>
    <row r="605" spans="7:14" x14ac:dyDescent="0.3">
      <c r="G605">
        <v>601</v>
      </c>
      <c r="H605" s="2" cm="1">
        <f t="array" aca="1" ref="H605:I6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05" s="3">
        <f ca="1"/>
        <v>5.4399272007988178E-2</v>
      </c>
      <c r="L605" s="1">
        <f ca="1"/>
        <v>4591072.1533815106</v>
      </c>
      <c r="N605">
        <f ca="1"/>
        <v>0</v>
      </c>
    </row>
    <row r="606" spans="7:14" x14ac:dyDescent="0.3">
      <c r="G606">
        <v>602</v>
      </c>
      <c r="H606" s="2" cm="1">
        <f t="array" aca="1" ref="H606:I6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3891523.0354502792</v>
      </c>
      <c r="I606" s="3">
        <f ca="1"/>
        <v>7.0006322491647538E-2</v>
      </c>
      <c r="L606" s="1">
        <f ca="1"/>
        <v>0</v>
      </c>
      <c r="N606">
        <f ca="1"/>
        <v>132993.33143248135</v>
      </c>
    </row>
    <row r="607" spans="7:14" x14ac:dyDescent="0.3">
      <c r="G607">
        <v>603</v>
      </c>
      <c r="H607" s="2" cm="1">
        <f t="array" aca="1" ref="H607:I6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2143709.5105427094</v>
      </c>
      <c r="I607" s="3">
        <f ca="1"/>
        <v>5.2590198154219281E-2</v>
      </c>
      <c r="L607" s="1">
        <f ca="1"/>
        <v>6535707.0255233981</v>
      </c>
      <c r="N607">
        <f ca="1"/>
        <v>0</v>
      </c>
    </row>
    <row r="608" spans="7:14" x14ac:dyDescent="0.3">
      <c r="G608">
        <v>604</v>
      </c>
      <c r="H608" s="2" cm="1">
        <f t="array" aca="1" ref="H608:I6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08" s="3">
        <f ca="1"/>
        <v>1.6264805335513562E-2</v>
      </c>
      <c r="L608" s="1">
        <f ca="1"/>
        <v>4411670.0276052356</v>
      </c>
      <c r="N608">
        <f ca="1"/>
        <v>22159220.224136192</v>
      </c>
    </row>
    <row r="609" spans="7:14" x14ac:dyDescent="0.3">
      <c r="G609">
        <v>605</v>
      </c>
      <c r="H609" s="2" cm="1">
        <f t="array" aca="1" ref="H609:I6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2028133.4640706074</v>
      </c>
      <c r="I609" s="3">
        <f ca="1"/>
        <v>6.6853048757370831E-2</v>
      </c>
      <c r="L609" s="1">
        <f ca="1"/>
        <v>3112413.2712251637</v>
      </c>
      <c r="N609">
        <f ca="1"/>
        <v>12805178.318530578</v>
      </c>
    </row>
    <row r="610" spans="7:14" x14ac:dyDescent="0.3">
      <c r="G610">
        <v>606</v>
      </c>
      <c r="H610" s="2" cm="1">
        <f t="array" aca="1" ref="H610:I6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985193.73649918777</v>
      </c>
      <c r="I610" s="3">
        <f ca="1"/>
        <v>4.8080567285738639E-2</v>
      </c>
      <c r="L610" s="1">
        <f ca="1"/>
        <v>0</v>
      </c>
      <c r="N610">
        <f ca="1"/>
        <v>2935421.6613478023</v>
      </c>
    </row>
    <row r="611" spans="7:14" x14ac:dyDescent="0.3">
      <c r="G611">
        <v>607</v>
      </c>
      <c r="H611" s="2" cm="1">
        <f t="array" aca="1" ref="H611:I6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16406124.06292385</v>
      </c>
      <c r="I611" s="3">
        <f ca="1"/>
        <v>8.1431515634779836E-2</v>
      </c>
      <c r="L611" s="1">
        <f ca="1"/>
        <v>2565322.3427681532</v>
      </c>
      <c r="N611">
        <f ca="1"/>
        <v>0</v>
      </c>
    </row>
    <row r="612" spans="7:14" x14ac:dyDescent="0.3">
      <c r="G612">
        <v>608</v>
      </c>
      <c r="H612" s="2" cm="1">
        <f t="array" aca="1" ref="H612:I6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12991014.832830651</v>
      </c>
      <c r="I612" s="3">
        <f ca="1"/>
        <v>8.32278347009687E-2</v>
      </c>
      <c r="L612" s="1">
        <f ca="1"/>
        <v>24221872.132223349</v>
      </c>
      <c r="N612">
        <f ca="1"/>
        <v>0</v>
      </c>
    </row>
    <row r="613" spans="7:14" x14ac:dyDescent="0.3">
      <c r="G613">
        <v>609</v>
      </c>
      <c r="H613" s="2" cm="1">
        <f t="array" aca="1" ref="H613:I6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11485894.380673472</v>
      </c>
      <c r="I613" s="3">
        <f ca="1"/>
        <v>8.2032333941190957E-2</v>
      </c>
      <c r="L613" s="1">
        <f ca="1"/>
        <v>3704893.887806464</v>
      </c>
      <c r="N613">
        <f ca="1"/>
        <v>392353.39910433302</v>
      </c>
    </row>
    <row r="614" spans="7:14" x14ac:dyDescent="0.3">
      <c r="G614">
        <v>610</v>
      </c>
      <c r="H614" s="2" cm="1">
        <f t="array" aca="1" ref="H614:I6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578493.26566230564</v>
      </c>
      <c r="I614" s="3">
        <f ca="1"/>
        <v>3.5686658456138179E-2</v>
      </c>
      <c r="L614" s="1">
        <f ca="1"/>
        <v>768457.18628764513</v>
      </c>
      <c r="N614">
        <f ca="1"/>
        <v>16622431.734505842</v>
      </c>
    </row>
    <row r="615" spans="7:14" x14ac:dyDescent="0.3">
      <c r="G615">
        <v>611</v>
      </c>
      <c r="H615" s="2" cm="1">
        <f t="array" aca="1" ref="H615:I6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15" s="3">
        <f ca="1"/>
        <v>1.2530099971806628E-2</v>
      </c>
      <c r="L615" s="1">
        <f ca="1"/>
        <v>148688.18901001947</v>
      </c>
      <c r="N615">
        <f ca="1"/>
        <v>645888.88016343187</v>
      </c>
    </row>
    <row r="616" spans="7:14" x14ac:dyDescent="0.3">
      <c r="G616">
        <v>612</v>
      </c>
      <c r="H616" s="2" cm="1">
        <f t="array" aca="1" ref="H616:I6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617139.98193513334</v>
      </c>
      <c r="I616" s="3">
        <f ca="1"/>
        <v>5.6325967134579512E-2</v>
      </c>
      <c r="L616" s="1">
        <f ca="1"/>
        <v>782257.28671370097</v>
      </c>
      <c r="N616">
        <f ca="1"/>
        <v>1329469.5066363388</v>
      </c>
    </row>
    <row r="617" spans="7:14" x14ac:dyDescent="0.3">
      <c r="G617">
        <v>613</v>
      </c>
      <c r="H617" s="2" cm="1">
        <f t="array" aca="1" ref="H617:I6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5183515.1195744565</v>
      </c>
      <c r="I617" s="3">
        <f ca="1"/>
        <v>5.9597818488771395E-2</v>
      </c>
      <c r="L617" s="1">
        <f ca="1"/>
        <v>11483748.930527121</v>
      </c>
      <c r="N617">
        <f ca="1"/>
        <v>5924434.2655315548</v>
      </c>
    </row>
    <row r="618" spans="7:14" x14ac:dyDescent="0.3">
      <c r="G618">
        <v>614</v>
      </c>
      <c r="H618" s="2" cm="1">
        <f t="array" aca="1" ref="H618:I6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4280120.7379791746</v>
      </c>
      <c r="I618" s="3">
        <f ca="1"/>
        <v>5.6650364545515794E-2</v>
      </c>
      <c r="L618" s="1">
        <f ca="1"/>
        <v>1262318.7962164639</v>
      </c>
      <c r="N618">
        <f ca="1"/>
        <v>2916011.3952594912</v>
      </c>
    </row>
    <row r="619" spans="7:14" x14ac:dyDescent="0.3">
      <c r="G619">
        <v>615</v>
      </c>
      <c r="H619" s="2" cm="1">
        <f t="array" aca="1" ref="H619:I6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19" s="3">
        <f ca="1"/>
        <v>1.855815029765711E-2</v>
      </c>
      <c r="L619" s="1">
        <f ca="1"/>
        <v>4802638.4580705902</v>
      </c>
      <c r="N619">
        <f ca="1"/>
        <v>9948074.7912832685</v>
      </c>
    </row>
    <row r="620" spans="7:14" x14ac:dyDescent="0.3">
      <c r="G620">
        <v>616</v>
      </c>
      <c r="H620" s="2" cm="1">
        <f t="array" aca="1" ref="H620:I6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3788547.3518016306</v>
      </c>
      <c r="I620" s="3">
        <f ca="1"/>
        <v>5.7550440327277554E-2</v>
      </c>
      <c r="L620" s="1">
        <f ca="1"/>
        <v>6011025.0032430375</v>
      </c>
      <c r="N620">
        <f ca="1"/>
        <v>8284808.5260456912</v>
      </c>
    </row>
    <row r="621" spans="7:14" x14ac:dyDescent="0.3">
      <c r="G621">
        <v>617</v>
      </c>
      <c r="H621" s="2" cm="1">
        <f t="array" aca="1" ref="H621:I6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5433256.025270097</v>
      </c>
      <c r="I621" s="3">
        <f ca="1"/>
        <v>5.721188169397249E-2</v>
      </c>
      <c r="L621" s="1">
        <f ca="1"/>
        <v>433824.30476802582</v>
      </c>
      <c r="N621">
        <f ca="1"/>
        <v>36409419.324214906</v>
      </c>
    </row>
    <row r="622" spans="7:14" x14ac:dyDescent="0.3">
      <c r="G622">
        <v>618</v>
      </c>
      <c r="H622" s="2" cm="1">
        <f t="array" aca="1" ref="H622:I6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140169.50604088409</v>
      </c>
      <c r="I622" s="3">
        <f ca="1"/>
        <v>4.9373362007897978E-2</v>
      </c>
      <c r="L622" s="1">
        <f ca="1"/>
        <v>0</v>
      </c>
      <c r="N622">
        <f ca="1"/>
        <v>45526787.59434177</v>
      </c>
    </row>
    <row r="623" spans="7:14" x14ac:dyDescent="0.3">
      <c r="G623">
        <v>619</v>
      </c>
      <c r="H623" s="2" cm="1">
        <f t="array" aca="1" ref="H623:I6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9548196.7356259506</v>
      </c>
      <c r="I623" s="3">
        <f ca="1"/>
        <v>7.6019759969291889E-2</v>
      </c>
      <c r="L623" s="1">
        <f ca="1"/>
        <v>0</v>
      </c>
      <c r="N623">
        <f ca="1"/>
        <v>29455101.792065188</v>
      </c>
    </row>
    <row r="624" spans="7:14" x14ac:dyDescent="0.3">
      <c r="G624">
        <v>620</v>
      </c>
      <c r="H624" s="2" cm="1">
        <f t="array" aca="1" ref="H624:I6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16018213.771359</v>
      </c>
      <c r="I624" s="3">
        <f ca="1"/>
        <v>8.7941194963806396E-2</v>
      </c>
      <c r="L624" s="1">
        <f ca="1"/>
        <v>17890236.77182848</v>
      </c>
      <c r="N624">
        <f ca="1"/>
        <v>0</v>
      </c>
    </row>
    <row r="625" spans="7:14" x14ac:dyDescent="0.3">
      <c r="G625">
        <v>621</v>
      </c>
      <c r="H625" s="2" cm="1">
        <f t="array" aca="1" ref="H625:I6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387418.5238199553</v>
      </c>
      <c r="I625" s="3">
        <f ca="1"/>
        <v>5.9897571080529712E-2</v>
      </c>
      <c r="L625" s="1">
        <f ca="1"/>
        <v>5909361.6812335523</v>
      </c>
      <c r="N625">
        <f ca="1"/>
        <v>0</v>
      </c>
    </row>
    <row r="626" spans="7:14" x14ac:dyDescent="0.3">
      <c r="G626">
        <v>622</v>
      </c>
      <c r="H626" s="2" cm="1">
        <f t="array" aca="1" ref="H626:I6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1865658.2362451816</v>
      </c>
      <c r="I626" s="3">
        <f ca="1"/>
        <v>4.5638016547452427E-2</v>
      </c>
      <c r="L626" s="1">
        <f ca="1"/>
        <v>35856946.301894069</v>
      </c>
      <c r="N626">
        <f ca="1"/>
        <v>14993728.172233567</v>
      </c>
    </row>
    <row r="627" spans="7:14" x14ac:dyDescent="0.3">
      <c r="G627">
        <v>623</v>
      </c>
      <c r="H627" s="2" cm="1">
        <f t="array" aca="1" ref="H627:I6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1495721.7074319804</v>
      </c>
      <c r="I627" s="3">
        <f ca="1"/>
        <v>5.561987227936982E-2</v>
      </c>
      <c r="L627" s="1">
        <f ca="1"/>
        <v>5286175.3189232238</v>
      </c>
      <c r="N627">
        <f ca="1"/>
        <v>13985062.254804635</v>
      </c>
    </row>
    <row r="628" spans="7:14" x14ac:dyDescent="0.3">
      <c r="G628">
        <v>624</v>
      </c>
      <c r="H628" s="2" cm="1">
        <f t="array" aca="1" ref="H628:I6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4198909.2222919371</v>
      </c>
      <c r="I628" s="3">
        <f ca="1"/>
        <v>6.7827634863613567E-2</v>
      </c>
      <c r="L628" s="1">
        <f ca="1"/>
        <v>1626326.9956794241</v>
      </c>
      <c r="N628">
        <f ca="1"/>
        <v>40081848.03085345</v>
      </c>
    </row>
    <row r="629" spans="7:14" x14ac:dyDescent="0.3">
      <c r="G629">
        <v>625</v>
      </c>
      <c r="H629" s="2" cm="1">
        <f t="array" aca="1" ref="H629:I6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6331275.9507490117</v>
      </c>
      <c r="I629" s="3">
        <f ca="1"/>
        <v>6.7049454090727933E-2</v>
      </c>
      <c r="L629" s="1">
        <f ca="1"/>
        <v>2043721.3940751594</v>
      </c>
      <c r="N629">
        <f ca="1"/>
        <v>1203113.8522303421</v>
      </c>
    </row>
    <row r="630" spans="7:14" x14ac:dyDescent="0.3">
      <c r="G630">
        <v>626</v>
      </c>
      <c r="H630" s="2" cm="1">
        <f t="array" aca="1" ref="H630:I6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30" s="3">
        <f ca="1"/>
        <v>1.4882891404664662E-2</v>
      </c>
      <c r="L630" s="1">
        <f ca="1"/>
        <v>0</v>
      </c>
      <c r="N630">
        <f ca="1"/>
        <v>11468603.341000844</v>
      </c>
    </row>
    <row r="631" spans="7:14" x14ac:dyDescent="0.3">
      <c r="G631">
        <v>627</v>
      </c>
      <c r="H631" s="2" cm="1">
        <f t="array" aca="1" ref="H631:I6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1623177.3937699143</v>
      </c>
      <c r="I631" s="3">
        <f ca="1"/>
        <v>5.4703749266655902E-2</v>
      </c>
      <c r="L631" s="1">
        <f ca="1"/>
        <v>0</v>
      </c>
      <c r="N631">
        <f ca="1"/>
        <v>1046132.2645607195</v>
      </c>
    </row>
    <row r="632" spans="7:14" x14ac:dyDescent="0.3">
      <c r="G632">
        <v>628</v>
      </c>
      <c r="H632" s="2" cm="1">
        <f t="array" aca="1" ref="H632:I6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32" s="3">
        <f ca="1"/>
        <v>1.2843002086345756E-2</v>
      </c>
      <c r="L632" s="1">
        <f ca="1"/>
        <v>110129.18368561355</v>
      </c>
      <c r="N632">
        <f ca="1"/>
        <v>1596079.4489383698</v>
      </c>
    </row>
    <row r="633" spans="7:14" x14ac:dyDescent="0.3">
      <c r="G633">
        <v>629</v>
      </c>
      <c r="H633" s="2" cm="1">
        <f t="array" aca="1" ref="H633:I6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33" s="3">
        <f ca="1"/>
        <v>4.5224378737917022E-2</v>
      </c>
      <c r="L633" s="1">
        <f ca="1"/>
        <v>1572628.3715225365</v>
      </c>
      <c r="N633">
        <f ca="1"/>
        <v>9584372.8070723116</v>
      </c>
    </row>
    <row r="634" spans="7:14" x14ac:dyDescent="0.3">
      <c r="G634">
        <v>630</v>
      </c>
      <c r="H634" s="2" cm="1">
        <f t="array" aca="1" ref="H634:I6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34" s="3">
        <f ca="1"/>
        <v>1.6271167824098494E-2</v>
      </c>
      <c r="L634" s="1">
        <f ca="1"/>
        <v>11027731.555963067</v>
      </c>
      <c r="N634">
        <f ca="1"/>
        <v>3597716.4244510741</v>
      </c>
    </row>
    <row r="635" spans="7:14" x14ac:dyDescent="0.3">
      <c r="G635">
        <v>631</v>
      </c>
      <c r="H635" s="2" cm="1">
        <f t="array" aca="1" ref="H635:I6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1437890.8045406237</v>
      </c>
      <c r="I635" s="3">
        <f ca="1"/>
        <v>6.4150232206034108E-2</v>
      </c>
      <c r="L635" s="1">
        <f ca="1"/>
        <v>1320087.5907969568</v>
      </c>
      <c r="N635">
        <f ca="1"/>
        <v>16143890.501302745</v>
      </c>
    </row>
    <row r="636" spans="7:14" x14ac:dyDescent="0.3">
      <c r="G636">
        <v>632</v>
      </c>
      <c r="H636" s="2" cm="1">
        <f t="array" aca="1" ref="H636:I6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39618185.559734613</v>
      </c>
      <c r="I636" s="3">
        <f ca="1"/>
        <v>0.10196365948641402</v>
      </c>
      <c r="L636" s="1">
        <f ca="1"/>
        <v>0</v>
      </c>
      <c r="N636">
        <f ca="1"/>
        <v>3284757.3567274511</v>
      </c>
    </row>
    <row r="637" spans="7:14" x14ac:dyDescent="0.3">
      <c r="G637">
        <v>633</v>
      </c>
      <c r="H637" s="2" cm="1">
        <f t="array" aca="1" ref="H637:I6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15877917.688621596</v>
      </c>
      <c r="I637" s="3">
        <f ca="1"/>
        <v>8.493572656278145E-2</v>
      </c>
      <c r="L637" s="1">
        <f ca="1"/>
        <v>9558208.9161291048</v>
      </c>
      <c r="N637">
        <f ca="1"/>
        <v>31529551.414755296</v>
      </c>
    </row>
    <row r="638" spans="7:14" x14ac:dyDescent="0.3">
      <c r="G638">
        <v>634</v>
      </c>
      <c r="H638" s="2" cm="1">
        <f t="array" aca="1" ref="H638:I6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6789555.0806389675</v>
      </c>
      <c r="I638" s="3">
        <f ca="1"/>
        <v>6.7422565719531591E-2</v>
      </c>
      <c r="L638" s="1">
        <f ca="1"/>
        <v>18359614.035260074</v>
      </c>
      <c r="N638">
        <f ca="1"/>
        <v>776699.73766459385</v>
      </c>
    </row>
    <row r="639" spans="7:14" x14ac:dyDescent="0.3">
      <c r="G639">
        <v>635</v>
      </c>
      <c r="H639" s="2" cm="1">
        <f t="array" aca="1" ref="H639:I6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17024801.757936634</v>
      </c>
      <c r="I639" s="3">
        <f ca="1"/>
        <v>8.9362228845286648E-2</v>
      </c>
      <c r="L639" s="1">
        <f ca="1"/>
        <v>7847677.7694314802</v>
      </c>
      <c r="N639">
        <f ca="1"/>
        <v>13666263.36163592</v>
      </c>
    </row>
    <row r="640" spans="7:14" x14ac:dyDescent="0.3">
      <c r="G640">
        <v>636</v>
      </c>
      <c r="H640" s="2" cm="1">
        <f t="array" aca="1" ref="H640:I6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287918.94446302229</v>
      </c>
      <c r="I640" s="3">
        <f ca="1"/>
        <v>4.5497033000599284E-2</v>
      </c>
      <c r="L640" s="1">
        <f ca="1"/>
        <v>61686.39333970494</v>
      </c>
      <c r="N640">
        <f ca="1"/>
        <v>579975.68008910003</v>
      </c>
    </row>
    <row r="641" spans="7:14" x14ac:dyDescent="0.3">
      <c r="G641">
        <v>637</v>
      </c>
      <c r="H641" s="2" cm="1">
        <f t="array" aca="1" ref="H641:I6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2244659.219057715</v>
      </c>
      <c r="I641" s="3">
        <f ca="1"/>
        <v>5.7940611574359445E-2</v>
      </c>
      <c r="L641" s="1">
        <f ca="1"/>
        <v>776700.79998972721</v>
      </c>
      <c r="N641">
        <f ca="1"/>
        <v>0</v>
      </c>
    </row>
    <row r="642" spans="7:14" x14ac:dyDescent="0.3">
      <c r="G642">
        <v>638</v>
      </c>
      <c r="H642" s="2" cm="1">
        <f t="array" aca="1" ref="H642:I6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9507152.0695724078</v>
      </c>
      <c r="I642" s="3">
        <f ca="1"/>
        <v>7.5441438200827965E-2</v>
      </c>
      <c r="L642" s="1">
        <f ca="1"/>
        <v>527795.07407162874</v>
      </c>
      <c r="N642">
        <f ca="1"/>
        <v>7027915.1145162825</v>
      </c>
    </row>
    <row r="643" spans="7:14" x14ac:dyDescent="0.3">
      <c r="G643">
        <v>639</v>
      </c>
      <c r="H643" s="2" cm="1">
        <f t="array" aca="1" ref="H643:I6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11733295.881403573</v>
      </c>
      <c r="I643" s="3">
        <f ca="1"/>
        <v>7.4493359295244962E-2</v>
      </c>
      <c r="L643" s="1">
        <f ca="1"/>
        <v>29086318.435557388</v>
      </c>
      <c r="N643">
        <f ca="1"/>
        <v>12005501.654952718</v>
      </c>
    </row>
    <row r="644" spans="7:14" x14ac:dyDescent="0.3">
      <c r="G644">
        <v>640</v>
      </c>
      <c r="H644" s="2" cm="1">
        <f t="array" aca="1" ref="H644:I6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5288222.5664086668</v>
      </c>
      <c r="I644" s="3">
        <f ca="1"/>
        <v>5.9077885993625102E-2</v>
      </c>
      <c r="L644" s="1">
        <f ca="1"/>
        <v>1631341.4283178595</v>
      </c>
      <c r="N644">
        <f ca="1"/>
        <v>1010350.3597848418</v>
      </c>
    </row>
    <row r="645" spans="7:14" x14ac:dyDescent="0.3">
      <c r="G645">
        <v>641</v>
      </c>
      <c r="H645" s="2" cm="1">
        <f t="array" aca="1" ref="H645:I6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16892328.978797123</v>
      </c>
      <c r="I645" s="3">
        <f ca="1"/>
        <v>9.3702971645190064E-2</v>
      </c>
      <c r="L645" s="1">
        <f ca="1"/>
        <v>0</v>
      </c>
      <c r="N645">
        <f ca="1"/>
        <v>4547024.3313965378</v>
      </c>
    </row>
    <row r="646" spans="7:14" x14ac:dyDescent="0.3">
      <c r="G646">
        <v>642</v>
      </c>
      <c r="H646" s="2" cm="1">
        <f t="array" aca="1" ref="H646:I6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7828638.8166919677</v>
      </c>
      <c r="I646" s="3">
        <f ca="1"/>
        <v>7.0846511251734703E-2</v>
      </c>
      <c r="L646" s="1">
        <f ca="1"/>
        <v>16393935.475862242</v>
      </c>
      <c r="N646">
        <f ca="1"/>
        <v>2613175.2315612691</v>
      </c>
    </row>
    <row r="647" spans="7:14" x14ac:dyDescent="0.3">
      <c r="G647">
        <v>643</v>
      </c>
      <c r="H647" s="2" cm="1">
        <f t="array" aca="1" ref="H647:I6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1205268.3885201553</v>
      </c>
      <c r="I647" s="3">
        <f ca="1"/>
        <v>5.5442394316092977E-2</v>
      </c>
      <c r="L647" s="1">
        <f ca="1"/>
        <v>2768712.1631053621</v>
      </c>
      <c r="N647">
        <f ca="1"/>
        <v>0</v>
      </c>
    </row>
    <row r="648" spans="7:14" x14ac:dyDescent="0.3">
      <c r="G648">
        <v>644</v>
      </c>
      <c r="H648" s="2" cm="1">
        <f t="array" aca="1" ref="H648:I6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30248710.869557217</v>
      </c>
      <c r="I648" s="3">
        <f ca="1"/>
        <v>0.10065913902208208</v>
      </c>
      <c r="L648" s="1">
        <f ca="1"/>
        <v>0</v>
      </c>
      <c r="N648">
        <f ca="1"/>
        <v>8821261.9597385824</v>
      </c>
    </row>
    <row r="649" spans="7:14" x14ac:dyDescent="0.3">
      <c r="G649">
        <v>645</v>
      </c>
      <c r="H649" s="2" cm="1">
        <f t="array" aca="1" ref="H649:I6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1415077.3465180248</v>
      </c>
      <c r="I649" s="3">
        <f ca="1"/>
        <v>4.2446089933713745E-2</v>
      </c>
      <c r="L649" s="1">
        <f ca="1"/>
        <v>0</v>
      </c>
      <c r="N649">
        <f ca="1"/>
        <v>0</v>
      </c>
    </row>
    <row r="650" spans="7:14" x14ac:dyDescent="0.3">
      <c r="G650">
        <v>646</v>
      </c>
      <c r="H650" s="2" cm="1">
        <f t="array" aca="1" ref="H650:I6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50" s="3">
        <f ca="1"/>
        <v>4.1026733293735039E-2</v>
      </c>
      <c r="L650" s="1">
        <f ca="1"/>
        <v>11487315.422535848</v>
      </c>
      <c r="N650">
        <f ca="1"/>
        <v>9069914.6837893873</v>
      </c>
    </row>
    <row r="651" spans="7:14" x14ac:dyDescent="0.3">
      <c r="G651">
        <v>647</v>
      </c>
      <c r="H651" s="2" cm="1">
        <f t="array" aca="1" ref="H651:I6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1356420.1766341249</v>
      </c>
      <c r="I651" s="3">
        <f ca="1"/>
        <v>5.856984457872335E-2</v>
      </c>
      <c r="L651" s="1">
        <f ca="1"/>
        <v>4888637.8791986778</v>
      </c>
      <c r="N651">
        <f ca="1"/>
        <v>2758031.1092957123</v>
      </c>
    </row>
    <row r="652" spans="7:14" x14ac:dyDescent="0.3">
      <c r="G652">
        <v>648</v>
      </c>
      <c r="H652" s="2" cm="1">
        <f t="array" aca="1" ref="H652:I6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17199531.900921669</v>
      </c>
      <c r="I652" s="3">
        <f ca="1"/>
        <v>9.0805317014640036E-2</v>
      </c>
      <c r="L652" s="1">
        <f ca="1"/>
        <v>478353.68101830065</v>
      </c>
      <c r="N652">
        <f ca="1"/>
        <v>0</v>
      </c>
    </row>
    <row r="653" spans="7:14" x14ac:dyDescent="0.3">
      <c r="G653">
        <v>649</v>
      </c>
      <c r="H653" s="2" cm="1">
        <f t="array" aca="1" ref="H653:I6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5974360.026323067</v>
      </c>
      <c r="I653" s="3">
        <f ca="1"/>
        <v>7.2392543600811071E-2</v>
      </c>
      <c r="L653" s="1">
        <f ca="1"/>
        <v>43224381.653816834</v>
      </c>
      <c r="N653">
        <f ca="1"/>
        <v>2994723.80517929</v>
      </c>
    </row>
    <row r="654" spans="7:14" x14ac:dyDescent="0.3">
      <c r="G654">
        <v>650</v>
      </c>
      <c r="H654" s="2" cm="1">
        <f t="array" aca="1" ref="H654:I6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54" s="3">
        <f ca="1"/>
        <v>3.2394427784453513E-2</v>
      </c>
      <c r="L654" s="1">
        <f ca="1"/>
        <v>343900.85992822866</v>
      </c>
      <c r="N654">
        <f ca="1"/>
        <v>16813514.469181657</v>
      </c>
    </row>
    <row r="655" spans="7:14" x14ac:dyDescent="0.3">
      <c r="G655">
        <v>651</v>
      </c>
      <c r="H655" s="2" cm="1">
        <f t="array" aca="1" ref="H655:I6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15079970.667281566</v>
      </c>
      <c r="I655" s="3">
        <f ca="1"/>
        <v>8.5124667560653816E-2</v>
      </c>
      <c r="L655" s="1">
        <f ca="1"/>
        <v>760289.28457648319</v>
      </c>
      <c r="N655">
        <f ca="1"/>
        <v>0</v>
      </c>
    </row>
    <row r="656" spans="7:14" x14ac:dyDescent="0.3">
      <c r="G656">
        <v>652</v>
      </c>
      <c r="H656" s="2" cm="1">
        <f t="array" aca="1" ref="H656:I6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384370.68871147593</v>
      </c>
      <c r="I656" s="3">
        <f ca="1"/>
        <v>3.3616485807071744E-2</v>
      </c>
      <c r="L656" s="1">
        <f ca="1"/>
        <v>25982.451891298115</v>
      </c>
      <c r="N656">
        <f ca="1"/>
        <v>997041.34983945847</v>
      </c>
    </row>
    <row r="657" spans="7:14" x14ac:dyDescent="0.3">
      <c r="G657">
        <v>653</v>
      </c>
      <c r="H657" s="2" cm="1">
        <f t="array" aca="1" ref="H657:I6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57" s="3">
        <f ca="1"/>
        <v>2.7812549023317912E-2</v>
      </c>
      <c r="L657" s="1">
        <f ca="1"/>
        <v>0</v>
      </c>
      <c r="N657">
        <f ca="1"/>
        <v>950372.1058438574</v>
      </c>
    </row>
    <row r="658" spans="7:14" x14ac:dyDescent="0.3">
      <c r="G658">
        <v>654</v>
      </c>
      <c r="H658" s="2" cm="1">
        <f t="array" aca="1" ref="H658:I6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58" s="3">
        <f ca="1"/>
        <v>4.1463394075786572E-2</v>
      </c>
      <c r="L658" s="1">
        <f ca="1"/>
        <v>0</v>
      </c>
      <c r="N658">
        <f ca="1"/>
        <v>1456736.8003386585</v>
      </c>
    </row>
    <row r="659" spans="7:14" x14ac:dyDescent="0.3">
      <c r="G659">
        <v>655</v>
      </c>
      <c r="H659" s="2" cm="1">
        <f t="array" aca="1" ref="H659:I6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4082313.2382917874</v>
      </c>
      <c r="I659" s="3">
        <f ca="1"/>
        <v>5.6655397586980349E-2</v>
      </c>
      <c r="L659" s="1">
        <f ca="1"/>
        <v>830965.84673406475</v>
      </c>
      <c r="N659">
        <f ca="1"/>
        <v>0</v>
      </c>
    </row>
    <row r="660" spans="7:14" x14ac:dyDescent="0.3">
      <c r="G660">
        <v>656</v>
      </c>
      <c r="H660" s="2" cm="1">
        <f t="array" aca="1" ref="H660:I6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7287971.2348872889</v>
      </c>
      <c r="I660" s="3">
        <f ca="1"/>
        <v>6.5374359184373551E-2</v>
      </c>
      <c r="L660" s="1">
        <f ca="1"/>
        <v>51941503.567831114</v>
      </c>
      <c r="N660">
        <f ca="1"/>
        <v>0</v>
      </c>
    </row>
    <row r="661" spans="7:14" x14ac:dyDescent="0.3">
      <c r="G661">
        <v>657</v>
      </c>
      <c r="H661" s="2" cm="1">
        <f t="array" aca="1" ref="H661:I6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6149025.5096917804</v>
      </c>
      <c r="I661" s="3">
        <f ca="1"/>
        <v>7.4491069929752435E-2</v>
      </c>
      <c r="L661" s="1">
        <f ca="1"/>
        <v>362674.95353859139</v>
      </c>
      <c r="N661">
        <f ca="1"/>
        <v>9027388.7974716984</v>
      </c>
    </row>
    <row r="662" spans="7:14" x14ac:dyDescent="0.3">
      <c r="G662">
        <v>658</v>
      </c>
      <c r="H662" s="2" cm="1">
        <f t="array" aca="1" ref="H662:I6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62" s="3">
        <f ca="1"/>
        <v>3.7285679593082745E-2</v>
      </c>
      <c r="L662" s="1">
        <f ca="1"/>
        <v>7572172.3826105352</v>
      </c>
      <c r="N662">
        <f ca="1"/>
        <v>3535077.8692768971</v>
      </c>
    </row>
    <row r="663" spans="7:14" x14ac:dyDescent="0.3">
      <c r="G663">
        <v>659</v>
      </c>
      <c r="H663" s="2" cm="1">
        <f t="array" aca="1" ref="H663:I6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33925625.895803325</v>
      </c>
      <c r="I663" s="3">
        <f ca="1"/>
        <v>9.9305478970222433E-2</v>
      </c>
      <c r="L663" s="1">
        <f ca="1"/>
        <v>733264.65918790014</v>
      </c>
      <c r="N663">
        <f ca="1"/>
        <v>2774982.8881064891</v>
      </c>
    </row>
    <row r="664" spans="7:14" x14ac:dyDescent="0.3">
      <c r="G664">
        <v>660</v>
      </c>
      <c r="H664" s="2" cm="1">
        <f t="array" aca="1" ref="H664:I6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3259527.6808292232</v>
      </c>
      <c r="I664" s="3">
        <f ca="1"/>
        <v>6.587669371169301E-2</v>
      </c>
      <c r="L664" s="1">
        <f ca="1"/>
        <v>7914464.5589848338</v>
      </c>
      <c r="N664">
        <f ca="1"/>
        <v>0</v>
      </c>
    </row>
    <row r="665" spans="7:14" x14ac:dyDescent="0.3">
      <c r="G665">
        <v>661</v>
      </c>
      <c r="H665" s="2" cm="1">
        <f t="array" aca="1" ref="H665:I6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2608883.0141397002</v>
      </c>
      <c r="I665" s="3">
        <f ca="1"/>
        <v>5.6183705267475993E-2</v>
      </c>
      <c r="L665" s="1">
        <f ca="1"/>
        <v>11693866.803206202</v>
      </c>
      <c r="N665">
        <f ca="1"/>
        <v>9378700.0236947536</v>
      </c>
    </row>
    <row r="666" spans="7:14" x14ac:dyDescent="0.3">
      <c r="G666">
        <v>662</v>
      </c>
      <c r="H666" s="2" cm="1">
        <f t="array" aca="1" ref="H666:I6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66" s="3">
        <f ca="1"/>
        <v>4.0841028775904301E-2</v>
      </c>
      <c r="L666" s="1">
        <f ca="1"/>
        <v>74453.67894032209</v>
      </c>
      <c r="N666">
        <f ca="1"/>
        <v>150013.60151705932</v>
      </c>
    </row>
    <row r="667" spans="7:14" x14ac:dyDescent="0.3">
      <c r="G667">
        <v>663</v>
      </c>
      <c r="H667" s="2" cm="1">
        <f t="array" aca="1" ref="H667:I6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2440151.9032674944</v>
      </c>
      <c r="I667" s="3">
        <f ca="1"/>
        <v>5.4230208721931385E-2</v>
      </c>
      <c r="L667" s="1">
        <f ca="1"/>
        <v>809153.1341087803</v>
      </c>
      <c r="N667">
        <f ca="1"/>
        <v>6330737.584246817</v>
      </c>
    </row>
    <row r="668" spans="7:14" x14ac:dyDescent="0.3">
      <c r="G668">
        <v>664</v>
      </c>
      <c r="H668" s="2" cm="1">
        <f t="array" aca="1" ref="H668:I6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68" s="3">
        <f ca="1"/>
        <v>3.1882140331262618E-2</v>
      </c>
      <c r="L668" s="1">
        <f ca="1"/>
        <v>0</v>
      </c>
      <c r="N668">
        <f ca="1"/>
        <v>1079739.1171477691</v>
      </c>
    </row>
    <row r="669" spans="7:14" x14ac:dyDescent="0.3">
      <c r="G669">
        <v>665</v>
      </c>
      <c r="H669" s="2" cm="1">
        <f t="array" aca="1" ref="H669:I6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3297721.6541864909</v>
      </c>
      <c r="I669" s="3">
        <f ca="1"/>
        <v>5.640344689828599E-2</v>
      </c>
      <c r="L669" s="1">
        <f ca="1"/>
        <v>0</v>
      </c>
      <c r="N669">
        <f ca="1"/>
        <v>6035325.3939476432</v>
      </c>
    </row>
    <row r="670" spans="7:14" x14ac:dyDescent="0.3">
      <c r="G670">
        <v>666</v>
      </c>
      <c r="H670" s="2" cm="1">
        <f t="array" aca="1" ref="H670:I6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70" s="3">
        <f ca="1"/>
        <v>4.6868672497973662E-2</v>
      </c>
      <c r="L670" s="1">
        <f ca="1"/>
        <v>1223134.0647987227</v>
      </c>
      <c r="N670">
        <f ca="1"/>
        <v>3365442.7103650346</v>
      </c>
    </row>
    <row r="671" spans="7:14" x14ac:dyDescent="0.3">
      <c r="G671">
        <v>667</v>
      </c>
      <c r="H671" s="2" cm="1">
        <f t="array" aca="1" ref="H671:I6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4749452.7569228793</v>
      </c>
      <c r="I671" s="3">
        <f ca="1"/>
        <v>6.8588540766305189E-2</v>
      </c>
      <c r="L671" s="1">
        <f ca="1"/>
        <v>2012459.580399747</v>
      </c>
      <c r="N671">
        <f ca="1"/>
        <v>2183019.2543317587</v>
      </c>
    </row>
    <row r="672" spans="7:14" x14ac:dyDescent="0.3">
      <c r="G672">
        <v>668</v>
      </c>
      <c r="H672" s="2" cm="1">
        <f t="array" aca="1" ref="H672:I6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4417033.7519903183</v>
      </c>
      <c r="I672" s="3">
        <f ca="1"/>
        <v>5.3104193621212811E-2</v>
      </c>
      <c r="L672" s="1">
        <f ca="1"/>
        <v>12961328.46375899</v>
      </c>
      <c r="N672">
        <f ca="1"/>
        <v>12343138.341942113</v>
      </c>
    </row>
    <row r="673" spans="7:14" x14ac:dyDescent="0.3">
      <c r="G673">
        <v>669</v>
      </c>
      <c r="H673" s="2" cm="1">
        <f t="array" aca="1" ref="H673:I6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1062148.389394063</v>
      </c>
      <c r="I673" s="3">
        <f ca="1"/>
        <v>3.5842798174131218E-2</v>
      </c>
      <c r="L673" s="1">
        <f ca="1"/>
        <v>1006326.7112773382</v>
      </c>
      <c r="N673">
        <f ca="1"/>
        <v>24546188.860321037</v>
      </c>
    </row>
    <row r="674" spans="7:14" x14ac:dyDescent="0.3">
      <c r="G674">
        <v>670</v>
      </c>
      <c r="H674" s="2" cm="1">
        <f t="array" aca="1" ref="H674:I6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3443275.5128763365</v>
      </c>
      <c r="I674" s="3">
        <f ca="1"/>
        <v>5.4659815426140831E-2</v>
      </c>
      <c r="L674" s="1">
        <f ca="1"/>
        <v>5162928.6333148926</v>
      </c>
      <c r="N674">
        <f ca="1"/>
        <v>13262840.0103816</v>
      </c>
    </row>
    <row r="675" spans="7:14" x14ac:dyDescent="0.3">
      <c r="G675">
        <v>671</v>
      </c>
      <c r="H675" s="2" cm="1">
        <f t="array" aca="1" ref="H675:I6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761459.09790112788</v>
      </c>
      <c r="I675" s="3">
        <f ca="1"/>
        <v>3.5942334572935102E-2</v>
      </c>
      <c r="L675" s="1">
        <f ca="1"/>
        <v>0</v>
      </c>
      <c r="N675">
        <f ca="1"/>
        <v>1801795.6255872822</v>
      </c>
    </row>
    <row r="676" spans="7:14" x14ac:dyDescent="0.3">
      <c r="G676">
        <v>672</v>
      </c>
      <c r="H676" s="2" cm="1">
        <f t="array" aca="1" ref="H676:I6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3896691.617258301</v>
      </c>
      <c r="I676" s="3">
        <f ca="1"/>
        <v>5.3445555904851581E-2</v>
      </c>
      <c r="L676" s="1">
        <f ca="1"/>
        <v>3839878.6102076764</v>
      </c>
      <c r="N676">
        <f ca="1"/>
        <v>738771.43957428739</v>
      </c>
    </row>
    <row r="677" spans="7:14" x14ac:dyDescent="0.3">
      <c r="G677">
        <v>673</v>
      </c>
      <c r="H677" s="2" cm="1">
        <f t="array" aca="1" ref="H677:I6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77" s="3">
        <f ca="1"/>
        <v>3.5127364671051112E-2</v>
      </c>
      <c r="L677" s="1">
        <f ca="1"/>
        <v>8564122.1149449963</v>
      </c>
      <c r="N677">
        <f ca="1"/>
        <v>339327.21172602254</v>
      </c>
    </row>
    <row r="678" spans="7:14" x14ac:dyDescent="0.3">
      <c r="G678">
        <v>674</v>
      </c>
      <c r="H678" s="2" cm="1">
        <f t="array" aca="1" ref="H678:I6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4469939.7788057616</v>
      </c>
      <c r="I678" s="3">
        <f ca="1"/>
        <v>6.9457898962797276E-2</v>
      </c>
      <c r="L678" s="1">
        <f ca="1"/>
        <v>2325362.6790495855</v>
      </c>
      <c r="N678">
        <f ca="1"/>
        <v>3222051.2078335108</v>
      </c>
    </row>
    <row r="679" spans="7:14" x14ac:dyDescent="0.3">
      <c r="G679">
        <v>675</v>
      </c>
      <c r="H679" s="2" cm="1">
        <f t="array" aca="1" ref="H679:I6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27999746.605652824</v>
      </c>
      <c r="I679" s="3">
        <f ca="1"/>
        <v>9.9701799926811524E-2</v>
      </c>
      <c r="L679" s="1">
        <f ca="1"/>
        <v>19381503.271162819</v>
      </c>
      <c r="N679">
        <f ca="1"/>
        <v>0</v>
      </c>
    </row>
    <row r="680" spans="7:14" x14ac:dyDescent="0.3">
      <c r="G680">
        <v>676</v>
      </c>
      <c r="H680" s="2" cm="1">
        <f t="array" aca="1" ref="H680:I6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2983632.5355195729</v>
      </c>
      <c r="I680" s="3">
        <f ca="1"/>
        <v>5.2441459266423074E-2</v>
      </c>
      <c r="L680" s="1">
        <f ca="1"/>
        <v>6949600.6255643759</v>
      </c>
      <c r="N680">
        <f ca="1"/>
        <v>7419892.7501890305</v>
      </c>
    </row>
    <row r="681" spans="7:14" x14ac:dyDescent="0.3">
      <c r="G681">
        <v>677</v>
      </c>
      <c r="H681" s="2" cm="1">
        <f t="array" aca="1" ref="H681:I6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16641755.948255846</v>
      </c>
      <c r="I681" s="3">
        <f ca="1"/>
        <v>9.4062238143617069E-2</v>
      </c>
      <c r="L681" s="1">
        <f ca="1"/>
        <v>8941954.5439748075</v>
      </c>
      <c r="N681">
        <f ca="1"/>
        <v>48295508.593301952</v>
      </c>
    </row>
    <row r="682" spans="7:14" x14ac:dyDescent="0.3">
      <c r="G682">
        <v>678</v>
      </c>
      <c r="H682" s="2" cm="1">
        <f t="array" aca="1" ref="H682:I6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82" s="3">
        <f ca="1"/>
        <v>9.9292863826710934E-3</v>
      </c>
      <c r="L682" s="1">
        <f ca="1"/>
        <v>47445803.33432281</v>
      </c>
      <c r="N682">
        <f ca="1"/>
        <v>1148530.1303207991</v>
      </c>
    </row>
    <row r="683" spans="7:14" x14ac:dyDescent="0.3">
      <c r="G683">
        <v>679</v>
      </c>
      <c r="H683" s="2" cm="1">
        <f t="array" aca="1" ref="H683:I6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83" s="3">
        <f ca="1"/>
        <v>3.2813422663077178E-2</v>
      </c>
      <c r="L683" s="1">
        <f ca="1"/>
        <v>1324332.5708028928</v>
      </c>
      <c r="N683">
        <f ca="1"/>
        <v>222691.76794188615</v>
      </c>
    </row>
    <row r="684" spans="7:14" x14ac:dyDescent="0.3">
      <c r="G684">
        <v>680</v>
      </c>
      <c r="H684" s="2" cm="1">
        <f t="array" aca="1" ref="H684:I6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554799.5200119972</v>
      </c>
      <c r="I684" s="3">
        <f ca="1"/>
        <v>3.6489673638195864E-2</v>
      </c>
      <c r="L684" s="1">
        <f ca="1"/>
        <v>26228290.939475615</v>
      </c>
      <c r="N684">
        <f ca="1"/>
        <v>69012465.451152816</v>
      </c>
    </row>
    <row r="685" spans="7:14" x14ac:dyDescent="0.3">
      <c r="G685">
        <v>681</v>
      </c>
      <c r="H685" s="2" cm="1">
        <f t="array" aca="1" ref="H685:I6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1586429.896335071</v>
      </c>
      <c r="I685" s="3">
        <f ca="1"/>
        <v>7.1953967564677951E-2</v>
      </c>
      <c r="L685" s="1">
        <f ca="1"/>
        <v>8478686.1258864589</v>
      </c>
      <c r="N685">
        <f ca="1"/>
        <v>0</v>
      </c>
    </row>
    <row r="686" spans="7:14" x14ac:dyDescent="0.3">
      <c r="G686">
        <v>682</v>
      </c>
      <c r="H686" s="2" cm="1">
        <f t="array" aca="1" ref="H686:I6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86" s="3">
        <f ca="1"/>
        <v>2.640532849907485E-2</v>
      </c>
      <c r="L686" s="1">
        <f ca="1"/>
        <v>5544994.1075839717</v>
      </c>
      <c r="N686">
        <f ca="1"/>
        <v>6318020.3324392634</v>
      </c>
    </row>
    <row r="687" spans="7:14" x14ac:dyDescent="0.3">
      <c r="G687">
        <v>683</v>
      </c>
      <c r="H687" s="2" cm="1">
        <f t="array" aca="1" ref="H687:I6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324974.75894716149</v>
      </c>
      <c r="I687" s="3">
        <f ca="1"/>
        <v>4.559331372609756E-2</v>
      </c>
      <c r="L687" s="1">
        <f ca="1"/>
        <v>870698.88153927191</v>
      </c>
      <c r="N687">
        <f ca="1"/>
        <v>0</v>
      </c>
    </row>
    <row r="688" spans="7:14" x14ac:dyDescent="0.3">
      <c r="G688">
        <v>684</v>
      </c>
      <c r="H688" s="2" cm="1">
        <f t="array" aca="1" ref="H688:I6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88" s="3">
        <f ca="1"/>
        <v>4.4017793337041505E-2</v>
      </c>
      <c r="L688" s="1">
        <f ca="1"/>
        <v>6416090.0899090823</v>
      </c>
      <c r="N688">
        <f ca="1"/>
        <v>8844851.09663211</v>
      </c>
    </row>
    <row r="689" spans="7:14" x14ac:dyDescent="0.3">
      <c r="G689">
        <v>685</v>
      </c>
      <c r="H689" s="2" cm="1">
        <f t="array" aca="1" ref="H689:I6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4938532.8771296525</v>
      </c>
      <c r="I689" s="3">
        <f ca="1"/>
        <v>5.4652163908845919E-2</v>
      </c>
      <c r="L689" s="1">
        <f ca="1"/>
        <v>8442708.9069666974</v>
      </c>
      <c r="N689">
        <f ca="1"/>
        <v>3269111.7085140613</v>
      </c>
    </row>
    <row r="690" spans="7:14" x14ac:dyDescent="0.3">
      <c r="G690">
        <v>686</v>
      </c>
      <c r="H690" s="2" cm="1">
        <f t="array" aca="1" ref="H690:I6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9458956.5795450937</v>
      </c>
      <c r="I690" s="3">
        <f ca="1"/>
        <v>8.3156775078226441E-2</v>
      </c>
      <c r="L690" s="1">
        <f ca="1"/>
        <v>2059030.9429560252</v>
      </c>
      <c r="N690">
        <f ca="1"/>
        <v>0</v>
      </c>
    </row>
    <row r="691" spans="7:14" x14ac:dyDescent="0.3">
      <c r="G691">
        <v>687</v>
      </c>
      <c r="H691" s="2" cm="1">
        <f t="array" aca="1" ref="H691:I6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18251515.723682582</v>
      </c>
      <c r="I691" s="3">
        <f ca="1"/>
        <v>8.6189768215350807E-2</v>
      </c>
      <c r="L691" s="1">
        <f ca="1"/>
        <v>116369.21129794353</v>
      </c>
      <c r="N691">
        <f ca="1"/>
        <v>0</v>
      </c>
    </row>
    <row r="692" spans="7:14" x14ac:dyDescent="0.3">
      <c r="G692">
        <v>688</v>
      </c>
      <c r="H692" s="2" cm="1">
        <f t="array" aca="1" ref="H692:I6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92" s="3">
        <f ca="1"/>
        <v>2.7062211586218816E-2</v>
      </c>
      <c r="L692" s="1">
        <f ca="1"/>
        <v>0</v>
      </c>
      <c r="N692">
        <f ca="1"/>
        <v>3330569.1499512549</v>
      </c>
    </row>
    <row r="693" spans="7:14" x14ac:dyDescent="0.3">
      <c r="G693">
        <v>689</v>
      </c>
      <c r="H693" s="2" cm="1">
        <f t="array" aca="1" ref="H693:I6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6347483.802617494</v>
      </c>
      <c r="I693" s="3">
        <f ca="1"/>
        <v>6.6149962338211105E-2</v>
      </c>
      <c r="L693" s="1">
        <f ca="1"/>
        <v>3350675.2395562553</v>
      </c>
      <c r="N693">
        <f ca="1"/>
        <v>0</v>
      </c>
    </row>
    <row r="694" spans="7:14" x14ac:dyDescent="0.3">
      <c r="G694">
        <v>690</v>
      </c>
      <c r="H694" s="2" cm="1">
        <f t="array" aca="1" ref="H694:I6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94" s="3">
        <f ca="1"/>
        <v>3.6898300491493369E-2</v>
      </c>
      <c r="L694" s="1">
        <f ca="1"/>
        <v>2622659.7890067352</v>
      </c>
      <c r="N694">
        <f ca="1"/>
        <v>9052402.499181468</v>
      </c>
    </row>
    <row r="695" spans="7:14" x14ac:dyDescent="0.3">
      <c r="G695">
        <v>691</v>
      </c>
      <c r="H695" s="2" cm="1">
        <f t="array" aca="1" ref="H695:I6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10134434.69452499</v>
      </c>
      <c r="I695" s="3">
        <f ca="1"/>
        <v>7.3141911454197447E-2</v>
      </c>
      <c r="L695" s="1">
        <f ca="1"/>
        <v>12997925.421731785</v>
      </c>
      <c r="N695">
        <f ca="1"/>
        <v>1373326.1723775424</v>
      </c>
    </row>
    <row r="696" spans="7:14" x14ac:dyDescent="0.3">
      <c r="G696">
        <v>692</v>
      </c>
      <c r="H696" s="2" cm="1">
        <f t="array" aca="1" ref="H696:I6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4361822.4785809321</v>
      </c>
      <c r="I696" s="3">
        <f ca="1"/>
        <v>5.1933089537875399E-2</v>
      </c>
      <c r="L696" s="1">
        <f ca="1"/>
        <v>13397307.435450701</v>
      </c>
      <c r="N696">
        <f ca="1"/>
        <v>16629058.189870849</v>
      </c>
    </row>
    <row r="697" spans="7:14" x14ac:dyDescent="0.3">
      <c r="G697">
        <v>693</v>
      </c>
      <c r="H697" s="2" cm="1">
        <f t="array" aca="1" ref="H697:I6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697" s="3">
        <f ca="1"/>
        <v>4.0689753327042368E-2</v>
      </c>
      <c r="L697" s="1">
        <f ca="1"/>
        <v>4398543.4738030368</v>
      </c>
      <c r="N697">
        <f ca="1"/>
        <v>1742732.8659914266</v>
      </c>
    </row>
    <row r="698" spans="7:14" x14ac:dyDescent="0.3">
      <c r="G698">
        <v>694</v>
      </c>
      <c r="H698" s="2" cm="1">
        <f t="array" aca="1" ref="H698:I6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48503631.327303313</v>
      </c>
      <c r="I698" s="3">
        <f ca="1"/>
        <v>0.11442315723831128</v>
      </c>
      <c r="L698" s="1">
        <f ca="1"/>
        <v>665554.6277601464</v>
      </c>
      <c r="N698">
        <f ca="1"/>
        <v>10437932.616244657</v>
      </c>
    </row>
    <row r="699" spans="7:14" x14ac:dyDescent="0.3">
      <c r="G699">
        <v>695</v>
      </c>
      <c r="H699" s="2" cm="1">
        <f t="array" aca="1" ref="H699:I6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1700116.1886772234</v>
      </c>
      <c r="I699" s="3">
        <f ca="1"/>
        <v>4.1270802415160332E-2</v>
      </c>
      <c r="L699" s="1">
        <f ca="1"/>
        <v>6834584.6544801723</v>
      </c>
      <c r="N699">
        <f ca="1"/>
        <v>0</v>
      </c>
    </row>
    <row r="700" spans="7:14" x14ac:dyDescent="0.3">
      <c r="G700">
        <v>696</v>
      </c>
      <c r="H700" s="2" cm="1">
        <f t="array" aca="1" ref="H700:I7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4978613.3159238538</v>
      </c>
      <c r="I700" s="3">
        <f ca="1"/>
        <v>5.9604160922726412E-2</v>
      </c>
      <c r="L700" s="1">
        <f ca="1"/>
        <v>0</v>
      </c>
      <c r="N700">
        <f ca="1"/>
        <v>5797207.1392358476</v>
      </c>
    </row>
    <row r="701" spans="7:14" x14ac:dyDescent="0.3">
      <c r="G701">
        <v>697</v>
      </c>
      <c r="H701" s="2" cm="1">
        <f t="array" aca="1" ref="H701:I7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2089104.5561237843</v>
      </c>
      <c r="I701" s="3">
        <f ca="1"/>
        <v>6.8733669262637659E-2</v>
      </c>
      <c r="L701" s="1">
        <f ca="1"/>
        <v>308216.55352661578</v>
      </c>
      <c r="N701">
        <f ca="1"/>
        <v>5612.1829304197745</v>
      </c>
    </row>
    <row r="702" spans="7:14" x14ac:dyDescent="0.3">
      <c r="G702">
        <v>698</v>
      </c>
      <c r="H702" s="2" cm="1">
        <f t="array" aca="1" ref="H702:I7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2473746.1990520577</v>
      </c>
      <c r="I702" s="3">
        <f ca="1"/>
        <v>4.9731404131915229E-2</v>
      </c>
      <c r="L702" s="1">
        <f ca="1"/>
        <v>2055030.2774118232</v>
      </c>
      <c r="N702">
        <f ca="1"/>
        <v>26637568.83630133</v>
      </c>
    </row>
    <row r="703" spans="7:14" x14ac:dyDescent="0.3">
      <c r="G703">
        <v>699</v>
      </c>
      <c r="H703" s="2" cm="1">
        <f t="array" aca="1" ref="H703:I7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4287754.746831743</v>
      </c>
      <c r="I703" s="3">
        <f ca="1"/>
        <v>6.2209301187854192E-2</v>
      </c>
      <c r="L703" s="1">
        <f ca="1"/>
        <v>5619910.5397606799</v>
      </c>
      <c r="N703">
        <f ca="1"/>
        <v>2187524.4535964523</v>
      </c>
    </row>
    <row r="704" spans="7:14" x14ac:dyDescent="0.3">
      <c r="G704">
        <v>700</v>
      </c>
      <c r="H704" s="2" cm="1">
        <f t="array" aca="1" ref="H704:I7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3049737.6552197444</v>
      </c>
      <c r="I704" s="3">
        <f ca="1"/>
        <v>5.155548049373241E-2</v>
      </c>
      <c r="L704" s="1">
        <f ca="1"/>
        <v>12921820.157714315</v>
      </c>
      <c r="N704">
        <f ca="1"/>
        <v>3157465.3444037964</v>
      </c>
    </row>
    <row r="705" spans="7:14" x14ac:dyDescent="0.3">
      <c r="G705">
        <v>701</v>
      </c>
      <c r="H705" s="2" cm="1">
        <f t="array" aca="1" ref="H705:I7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82448.570403744496</v>
      </c>
      <c r="I705" s="3">
        <f ca="1"/>
        <v>5.0620189326234133E-2</v>
      </c>
      <c r="L705" s="1">
        <f ca="1"/>
        <v>291654.2394948501</v>
      </c>
      <c r="N705">
        <f ca="1"/>
        <v>8355904.6226392519</v>
      </c>
    </row>
    <row r="706" spans="7:14" x14ac:dyDescent="0.3">
      <c r="G706">
        <v>702</v>
      </c>
      <c r="H706" s="2" cm="1">
        <f t="array" aca="1" ref="H706:I7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5454450.9056081362</v>
      </c>
      <c r="I706" s="3">
        <f ca="1"/>
        <v>7.2155266040770299E-2</v>
      </c>
      <c r="L706" s="1">
        <f ca="1"/>
        <v>2374064.4819349661</v>
      </c>
      <c r="N706">
        <f ca="1"/>
        <v>0</v>
      </c>
    </row>
    <row r="707" spans="7:14" x14ac:dyDescent="0.3">
      <c r="G707">
        <v>703</v>
      </c>
      <c r="H707" s="2" cm="1">
        <f t="array" aca="1" ref="H707:I7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5056332.5293294117</v>
      </c>
      <c r="I707" s="3">
        <f ca="1"/>
        <v>6.7777416630132467E-2</v>
      </c>
      <c r="L707" s="1">
        <f ca="1"/>
        <v>0</v>
      </c>
      <c r="N707">
        <f ca="1"/>
        <v>1936245.8760040884</v>
      </c>
    </row>
    <row r="708" spans="7:14" x14ac:dyDescent="0.3">
      <c r="G708">
        <v>704</v>
      </c>
      <c r="H708" s="2" cm="1">
        <f t="array" aca="1" ref="H708:I7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3153605.2212098199</v>
      </c>
      <c r="I708" s="3">
        <f ca="1"/>
        <v>5.541568950458936E-2</v>
      </c>
      <c r="L708" s="1">
        <f ca="1"/>
        <v>0</v>
      </c>
      <c r="N708">
        <f ca="1"/>
        <v>13216737.813984312</v>
      </c>
    </row>
    <row r="709" spans="7:14" x14ac:dyDescent="0.3">
      <c r="G709">
        <v>705</v>
      </c>
      <c r="H709" s="2" cm="1">
        <f t="array" aca="1" ref="H709:I7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10062120.282398203</v>
      </c>
      <c r="I709" s="3">
        <f ca="1"/>
        <v>7.5497233349402323E-2</v>
      </c>
      <c r="L709" s="1">
        <f ca="1"/>
        <v>0</v>
      </c>
      <c r="N709">
        <f ca="1"/>
        <v>19924456.822077282</v>
      </c>
    </row>
    <row r="710" spans="7:14" x14ac:dyDescent="0.3">
      <c r="G710">
        <v>706</v>
      </c>
      <c r="H710" s="2" cm="1">
        <f t="array" aca="1" ref="H710:I7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8361527.6000014823</v>
      </c>
      <c r="I710" s="3">
        <f ca="1"/>
        <v>7.2520289973287216E-2</v>
      </c>
      <c r="L710" s="1">
        <f ca="1"/>
        <v>2082238.7298551765</v>
      </c>
      <c r="N710">
        <f ca="1"/>
        <v>2018271.7705898718</v>
      </c>
    </row>
    <row r="711" spans="7:14" x14ac:dyDescent="0.3">
      <c r="G711">
        <v>707</v>
      </c>
      <c r="H711" s="2" cm="1">
        <f t="array" aca="1" ref="H711:I7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3383029.7207011869</v>
      </c>
      <c r="I711" s="3">
        <f ca="1"/>
        <v>6.3405838530226161E-2</v>
      </c>
      <c r="L711" s="1">
        <f ca="1"/>
        <v>0</v>
      </c>
      <c r="N711">
        <f ca="1"/>
        <v>5548350.0665970109</v>
      </c>
    </row>
    <row r="712" spans="7:14" x14ac:dyDescent="0.3">
      <c r="G712">
        <v>708</v>
      </c>
      <c r="H712" s="2" cm="1">
        <f t="array" aca="1" ref="H712:I7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12" s="3">
        <f ca="1"/>
        <v>3.7130063183892253E-2</v>
      </c>
      <c r="L712" s="1">
        <f ca="1"/>
        <v>0</v>
      </c>
      <c r="N712">
        <f ca="1"/>
        <v>4149052.3236297388</v>
      </c>
    </row>
    <row r="713" spans="7:14" x14ac:dyDescent="0.3">
      <c r="G713">
        <v>709</v>
      </c>
      <c r="H713" s="2" cm="1">
        <f t="array" aca="1" ref="H713:I7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13" s="3">
        <f ca="1"/>
        <v>3.0608814569969205E-2</v>
      </c>
      <c r="L713" s="1">
        <f ca="1"/>
        <v>17611478.961825803</v>
      </c>
      <c r="N713">
        <f ca="1"/>
        <v>24146632.585309643</v>
      </c>
    </row>
    <row r="714" spans="7:14" x14ac:dyDescent="0.3">
      <c r="G714">
        <v>710</v>
      </c>
      <c r="H714" s="2" cm="1">
        <f t="array" aca="1" ref="H714:I7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9794465.3498418033</v>
      </c>
      <c r="I714" s="3">
        <f ca="1"/>
        <v>8.1374968978826553E-2</v>
      </c>
      <c r="L714" s="1">
        <f ca="1"/>
        <v>15016021.162380734</v>
      </c>
      <c r="N714">
        <f ca="1"/>
        <v>37395489.217221424</v>
      </c>
    </row>
    <row r="715" spans="7:14" x14ac:dyDescent="0.3">
      <c r="G715">
        <v>711</v>
      </c>
      <c r="H715" s="2" cm="1">
        <f t="array" aca="1" ref="H715:I7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10066553.989407472</v>
      </c>
      <c r="I715" s="3">
        <f ca="1"/>
        <v>8.0404734563411226E-2</v>
      </c>
      <c r="L715" s="1">
        <f ca="1"/>
        <v>3359060.3889118088</v>
      </c>
      <c r="N715">
        <f ca="1"/>
        <v>4350385.8144914964</v>
      </c>
    </row>
    <row r="716" spans="7:14" x14ac:dyDescent="0.3">
      <c r="G716">
        <v>712</v>
      </c>
      <c r="H716" s="2" cm="1">
        <f t="array" aca="1" ref="H716:I7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2776007.9169357871</v>
      </c>
      <c r="I716" s="3">
        <f ca="1"/>
        <v>5.6718131078435083E-2</v>
      </c>
      <c r="L716" s="1">
        <f ca="1"/>
        <v>7341158.5882112738</v>
      </c>
      <c r="N716">
        <f ca="1"/>
        <v>7569365.0477730632</v>
      </c>
    </row>
    <row r="717" spans="7:14" x14ac:dyDescent="0.3">
      <c r="G717">
        <v>713</v>
      </c>
      <c r="H717" s="2" cm="1">
        <f t="array" aca="1" ref="H717:I7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2281437.5110733979</v>
      </c>
      <c r="I717" s="3">
        <f ca="1"/>
        <v>5.6139382570104326E-2</v>
      </c>
      <c r="L717" s="1">
        <f ca="1"/>
        <v>6940756.5842064861</v>
      </c>
      <c r="N717">
        <f ca="1"/>
        <v>14154798.51606331</v>
      </c>
    </row>
    <row r="718" spans="7:14" x14ac:dyDescent="0.3">
      <c r="G718">
        <v>714</v>
      </c>
      <c r="H718" s="2" cm="1">
        <f t="array" aca="1" ref="H718:I7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18" s="3">
        <f ca="1"/>
        <v>4.08806984277226E-2</v>
      </c>
      <c r="L718" s="1">
        <f ca="1"/>
        <v>1236702.4508737018</v>
      </c>
      <c r="N718">
        <f ca="1"/>
        <v>3843275.169228984</v>
      </c>
    </row>
    <row r="719" spans="7:14" x14ac:dyDescent="0.3">
      <c r="G719">
        <v>715</v>
      </c>
      <c r="H719" s="2" cm="1">
        <f t="array" aca="1" ref="H719:I7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19" s="3">
        <f ca="1"/>
        <v>4.1668834406472885E-2</v>
      </c>
      <c r="L719" s="1">
        <f ca="1"/>
        <v>15292394.377552502</v>
      </c>
      <c r="N719">
        <f ca="1"/>
        <v>6683584.6670556925</v>
      </c>
    </row>
    <row r="720" spans="7:14" x14ac:dyDescent="0.3">
      <c r="G720">
        <v>716</v>
      </c>
      <c r="H720" s="2" cm="1">
        <f t="array" aca="1" ref="H720:I7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1591017.629546209</v>
      </c>
      <c r="I720" s="3">
        <f ca="1"/>
        <v>5.8491434145406695E-2</v>
      </c>
      <c r="L720" s="1">
        <f ca="1"/>
        <v>31880984.431595623</v>
      </c>
      <c r="N720">
        <f ca="1"/>
        <v>3645824.65410602</v>
      </c>
    </row>
    <row r="721" spans="7:14" x14ac:dyDescent="0.3">
      <c r="G721">
        <v>717</v>
      </c>
      <c r="H721" s="2" cm="1">
        <f t="array" aca="1" ref="H721:I7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2282314.2917258074</v>
      </c>
      <c r="I721" s="3">
        <f ca="1"/>
        <v>4.668635701191029E-2</v>
      </c>
      <c r="L721" s="1">
        <f ca="1"/>
        <v>0</v>
      </c>
      <c r="N721">
        <f ca="1"/>
        <v>0</v>
      </c>
    </row>
    <row r="722" spans="7:14" x14ac:dyDescent="0.3">
      <c r="G722">
        <v>718</v>
      </c>
      <c r="H722" s="2" cm="1">
        <f t="array" aca="1" ref="H722:I7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383369.21922033629</v>
      </c>
      <c r="I722" s="3">
        <f ca="1"/>
        <v>4.2115411075233609E-2</v>
      </c>
      <c r="L722" s="1">
        <f ca="1"/>
        <v>0</v>
      </c>
      <c r="N722">
        <f ca="1"/>
        <v>0</v>
      </c>
    </row>
    <row r="723" spans="7:14" x14ac:dyDescent="0.3">
      <c r="G723">
        <v>719</v>
      </c>
      <c r="H723" s="2" cm="1">
        <f t="array" aca="1" ref="H723:I7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322374.79903379316</v>
      </c>
      <c r="I723" s="3">
        <f ca="1"/>
        <v>3.339465244378291E-2</v>
      </c>
      <c r="L723" s="1">
        <f ca="1"/>
        <v>1379046.5152852179</v>
      </c>
      <c r="N723">
        <f ca="1"/>
        <v>9912964.5622755941</v>
      </c>
    </row>
    <row r="724" spans="7:14" x14ac:dyDescent="0.3">
      <c r="G724">
        <v>720</v>
      </c>
      <c r="H724" s="2" cm="1">
        <f t="array" aca="1" ref="H724:I7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5896128.5066145211</v>
      </c>
      <c r="I724" s="3">
        <f ca="1"/>
        <v>6.3304121386013282E-2</v>
      </c>
      <c r="L724" s="1">
        <f ca="1"/>
        <v>3769885.4911022666</v>
      </c>
      <c r="N724">
        <f ca="1"/>
        <v>11969673.536915548</v>
      </c>
    </row>
    <row r="725" spans="7:14" x14ac:dyDescent="0.3">
      <c r="G725">
        <v>721</v>
      </c>
      <c r="H725" s="2" cm="1">
        <f t="array" aca="1" ref="H725:I7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25" s="3">
        <f ca="1"/>
        <v>2.4265891296727925E-2</v>
      </c>
      <c r="L725" s="1">
        <f ca="1"/>
        <v>12036800.361136593</v>
      </c>
      <c r="N725">
        <f ca="1"/>
        <v>641574.51526586758</v>
      </c>
    </row>
    <row r="726" spans="7:14" x14ac:dyDescent="0.3">
      <c r="G726">
        <v>722</v>
      </c>
      <c r="H726" s="2" cm="1">
        <f t="array" aca="1" ref="H726:I7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26" s="3">
        <f ca="1"/>
        <v>5.4759141519277112E-2</v>
      </c>
      <c r="L726" s="1">
        <f ca="1"/>
        <v>2711492.9307611678</v>
      </c>
      <c r="N726">
        <f ca="1"/>
        <v>6256058.4725588728</v>
      </c>
    </row>
    <row r="727" spans="7:14" x14ac:dyDescent="0.3">
      <c r="G727">
        <v>723</v>
      </c>
      <c r="H727" s="2" cm="1">
        <f t="array" aca="1" ref="H727:I7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27" s="3">
        <f ca="1"/>
        <v>1.7512278177810918E-2</v>
      </c>
      <c r="L727" s="1">
        <f ca="1"/>
        <v>807877.14030803787</v>
      </c>
      <c r="N727">
        <f ca="1"/>
        <v>0</v>
      </c>
    </row>
    <row r="728" spans="7:14" x14ac:dyDescent="0.3">
      <c r="G728">
        <v>724</v>
      </c>
      <c r="H728" s="2" cm="1">
        <f t="array" aca="1" ref="H728:I7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5311297.6802355004</v>
      </c>
      <c r="I728" s="3">
        <f ca="1"/>
        <v>6.776648994103622E-2</v>
      </c>
      <c r="L728" s="1">
        <f ca="1"/>
        <v>36153112.770844728</v>
      </c>
      <c r="N728">
        <f ca="1"/>
        <v>9605858.5475722235</v>
      </c>
    </row>
    <row r="729" spans="7:14" x14ac:dyDescent="0.3">
      <c r="G729">
        <v>725</v>
      </c>
      <c r="H729" s="2" cm="1">
        <f t="array" aca="1" ref="H729:I7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5535189.7247978598</v>
      </c>
      <c r="I729" s="3">
        <f ca="1"/>
        <v>7.1639014804075085E-2</v>
      </c>
      <c r="L729" s="1">
        <f ca="1"/>
        <v>6391326.2029164657</v>
      </c>
      <c r="N729">
        <f ca="1"/>
        <v>0</v>
      </c>
    </row>
    <row r="730" spans="7:14" x14ac:dyDescent="0.3">
      <c r="G730">
        <v>726</v>
      </c>
      <c r="H730" s="2" cm="1">
        <f t="array" aca="1" ref="H730:I7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16512777.106444964</v>
      </c>
      <c r="I730" s="3">
        <f ca="1"/>
        <v>8.3504986782281909E-2</v>
      </c>
      <c r="L730" s="1">
        <f ca="1"/>
        <v>13768942.993463965</v>
      </c>
      <c r="N730">
        <f ca="1"/>
        <v>24112493.003182016</v>
      </c>
    </row>
    <row r="731" spans="7:14" x14ac:dyDescent="0.3">
      <c r="G731">
        <v>727</v>
      </c>
      <c r="H731" s="2" cm="1">
        <f t="array" aca="1" ref="H731:I7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31" s="3">
        <f ca="1"/>
        <v>3.2296387366623387E-2</v>
      </c>
      <c r="L731" s="1">
        <f ca="1"/>
        <v>15739060.50474767</v>
      </c>
      <c r="N731">
        <f ca="1"/>
        <v>91518164.15091078</v>
      </c>
    </row>
    <row r="732" spans="7:14" x14ac:dyDescent="0.3">
      <c r="G732">
        <v>728</v>
      </c>
      <c r="H732" s="2" cm="1">
        <f t="array" aca="1" ref="H732:I7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32" s="3">
        <f ca="1"/>
        <v>2.6250324796084107E-2</v>
      </c>
      <c r="L732" s="1">
        <f ca="1"/>
        <v>2683871.8045590287</v>
      </c>
      <c r="N732">
        <f ca="1"/>
        <v>5133573.8173976215</v>
      </c>
    </row>
    <row r="733" spans="7:14" x14ac:dyDescent="0.3">
      <c r="G733">
        <v>729</v>
      </c>
      <c r="H733" s="2" cm="1">
        <f t="array" aca="1" ref="H733:I7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33" s="3">
        <f ca="1"/>
        <v>1.9347362836261432E-2</v>
      </c>
      <c r="L733" s="1">
        <f ca="1"/>
        <v>1985366.3187469929</v>
      </c>
      <c r="N733">
        <f ca="1"/>
        <v>15671409.941809185</v>
      </c>
    </row>
    <row r="734" spans="7:14" x14ac:dyDescent="0.3">
      <c r="G734">
        <v>730</v>
      </c>
      <c r="H734" s="2" cm="1">
        <f t="array" aca="1" ref="H734:I7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7700785.7892982066</v>
      </c>
      <c r="I734" s="3">
        <f ca="1"/>
        <v>8.0295377899940817E-2</v>
      </c>
      <c r="L734" s="1">
        <f ca="1"/>
        <v>14482960.279264748</v>
      </c>
      <c r="N734">
        <f ca="1"/>
        <v>13257013.080849107</v>
      </c>
    </row>
    <row r="735" spans="7:14" x14ac:dyDescent="0.3">
      <c r="G735">
        <v>731</v>
      </c>
      <c r="H735" s="2" cm="1">
        <f t="array" aca="1" ref="H735:I7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7148206.4639011975</v>
      </c>
      <c r="I735" s="3">
        <f ca="1"/>
        <v>7.2150315106562377E-2</v>
      </c>
      <c r="L735" s="1">
        <f ca="1"/>
        <v>45245334.552926496</v>
      </c>
      <c r="N735">
        <f ca="1"/>
        <v>5044839.9854122559</v>
      </c>
    </row>
    <row r="736" spans="7:14" x14ac:dyDescent="0.3">
      <c r="G736">
        <v>732</v>
      </c>
      <c r="H736" s="2" cm="1">
        <f t="array" aca="1" ref="H736:I7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69756182.987834752</v>
      </c>
      <c r="I736" s="3">
        <f ca="1"/>
        <v>0.11650069480760002</v>
      </c>
      <c r="L736" s="1">
        <f ca="1"/>
        <v>0</v>
      </c>
      <c r="N736">
        <f ca="1"/>
        <v>34350.246346056127</v>
      </c>
    </row>
    <row r="737" spans="7:14" x14ac:dyDescent="0.3">
      <c r="G737">
        <v>733</v>
      </c>
      <c r="H737" s="2" cm="1">
        <f t="array" aca="1" ref="H737:I7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52856170.851639472</v>
      </c>
      <c r="I737" s="3">
        <f ca="1"/>
        <v>0.11275831374456224</v>
      </c>
      <c r="L737" s="1">
        <f ca="1"/>
        <v>3588773.8832266699</v>
      </c>
      <c r="N737">
        <f ca="1"/>
        <v>0</v>
      </c>
    </row>
    <row r="738" spans="7:14" x14ac:dyDescent="0.3">
      <c r="G738">
        <v>734</v>
      </c>
      <c r="H738" s="2" cm="1">
        <f t="array" aca="1" ref="H738:I7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1176453.9920801665</v>
      </c>
      <c r="I738" s="3">
        <f ca="1"/>
        <v>4.2952824353677747E-2</v>
      </c>
      <c r="L738" s="1">
        <f ca="1"/>
        <v>0</v>
      </c>
      <c r="N738">
        <f ca="1"/>
        <v>0</v>
      </c>
    </row>
    <row r="739" spans="7:14" x14ac:dyDescent="0.3">
      <c r="G739">
        <v>735</v>
      </c>
      <c r="H739" s="2" cm="1">
        <f t="array" aca="1" ref="H739:I7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39" s="3">
        <f ca="1"/>
        <v>3.6282148058087341E-2</v>
      </c>
      <c r="L739" s="1">
        <f ca="1"/>
        <v>1208627.5179883575</v>
      </c>
      <c r="N739">
        <f ca="1"/>
        <v>19026543.761250556</v>
      </c>
    </row>
    <row r="740" spans="7:14" x14ac:dyDescent="0.3">
      <c r="G740">
        <v>736</v>
      </c>
      <c r="H740" s="2" cm="1">
        <f t="array" aca="1" ref="H740:I7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7103531.4930952592</v>
      </c>
      <c r="I740" s="3">
        <f ca="1"/>
        <v>7.0567377214801094E-2</v>
      </c>
      <c r="L740" s="1">
        <f ca="1"/>
        <v>10649123.806775849</v>
      </c>
      <c r="N740">
        <f ca="1"/>
        <v>12521935.207409319</v>
      </c>
    </row>
    <row r="741" spans="7:14" x14ac:dyDescent="0.3">
      <c r="G741">
        <v>737</v>
      </c>
      <c r="H741" s="2" cm="1">
        <f t="array" aca="1" ref="H741:I7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6237078.6192579176</v>
      </c>
      <c r="I741" s="3">
        <f ca="1"/>
        <v>6.6589997484536201E-2</v>
      </c>
      <c r="L741" s="1">
        <f ca="1"/>
        <v>5004224.8499058131</v>
      </c>
      <c r="N741">
        <f ca="1"/>
        <v>3985092.7406239947</v>
      </c>
    </row>
    <row r="742" spans="7:14" x14ac:dyDescent="0.3">
      <c r="G742">
        <v>738</v>
      </c>
      <c r="H742" s="2" cm="1">
        <f t="array" aca="1" ref="H742:I7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11578420.15481087</v>
      </c>
      <c r="I742" s="3">
        <f ca="1"/>
        <v>8.5312170866083947E-2</v>
      </c>
      <c r="L742" s="1">
        <f ca="1"/>
        <v>7161284.0800060565</v>
      </c>
      <c r="N742">
        <f ca="1"/>
        <v>8167220.4108836586</v>
      </c>
    </row>
    <row r="743" spans="7:14" x14ac:dyDescent="0.3">
      <c r="G743">
        <v>739</v>
      </c>
      <c r="H743" s="2" cm="1">
        <f t="array" aca="1" ref="H743:I7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969168.10983941262</v>
      </c>
      <c r="I743" s="3">
        <f ca="1"/>
        <v>4.6132373171812013E-2</v>
      </c>
      <c r="L743" s="1">
        <f ca="1"/>
        <v>3483076.8304702211</v>
      </c>
      <c r="N743">
        <f ca="1"/>
        <v>3170491.6475071474</v>
      </c>
    </row>
    <row r="744" spans="7:14" x14ac:dyDescent="0.3">
      <c r="G744">
        <v>740</v>
      </c>
      <c r="H744" s="2" cm="1">
        <f t="array" aca="1" ref="H744:I7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1509975.6431457754</v>
      </c>
      <c r="I744" s="3">
        <f ca="1"/>
        <v>5.0037914816470921E-2</v>
      </c>
      <c r="L744" s="1">
        <f ca="1"/>
        <v>3738147.2109086611</v>
      </c>
      <c r="N744">
        <f ca="1"/>
        <v>3034722.3282819008</v>
      </c>
    </row>
    <row r="745" spans="7:14" x14ac:dyDescent="0.3">
      <c r="G745">
        <v>741</v>
      </c>
      <c r="H745" s="2" cm="1">
        <f t="array" aca="1" ref="H745:I7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20215497.192777783</v>
      </c>
      <c r="I745" s="3">
        <f ca="1"/>
        <v>9.2105576598937755E-2</v>
      </c>
      <c r="L745" s="1">
        <f ca="1"/>
        <v>1945492.3856445893</v>
      </c>
      <c r="N745">
        <f ca="1"/>
        <v>3098750.9276160323</v>
      </c>
    </row>
    <row r="746" spans="7:14" x14ac:dyDescent="0.3">
      <c r="G746">
        <v>742</v>
      </c>
      <c r="H746" s="2" cm="1">
        <f t="array" aca="1" ref="H746:I7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850462.42108692287</v>
      </c>
      <c r="I746" s="3">
        <f ca="1"/>
        <v>5.1641703642733919E-2</v>
      </c>
      <c r="L746" s="1">
        <f ca="1"/>
        <v>4368299.970970287</v>
      </c>
      <c r="N746">
        <f ca="1"/>
        <v>0</v>
      </c>
    </row>
    <row r="747" spans="7:14" x14ac:dyDescent="0.3">
      <c r="G747">
        <v>743</v>
      </c>
      <c r="H747" s="2" cm="1">
        <f t="array" aca="1" ref="H747:I7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2202553.4441226451</v>
      </c>
      <c r="I747" s="3">
        <f ca="1"/>
        <v>5.5631422550997719E-2</v>
      </c>
      <c r="L747" s="1">
        <f ca="1"/>
        <v>2650226.7099953936</v>
      </c>
      <c r="N747">
        <f ca="1"/>
        <v>11533469.787419707</v>
      </c>
    </row>
    <row r="748" spans="7:14" x14ac:dyDescent="0.3">
      <c r="G748">
        <v>744</v>
      </c>
      <c r="H748" s="2" cm="1">
        <f t="array" aca="1" ref="H748:I7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41467071.508702636</v>
      </c>
      <c r="I748" s="3">
        <f ca="1"/>
        <v>0.10495879511682886</v>
      </c>
      <c r="L748" s="1">
        <f ca="1"/>
        <v>25616938.962844081</v>
      </c>
      <c r="N748">
        <f ca="1"/>
        <v>1373592.9216236286</v>
      </c>
    </row>
    <row r="749" spans="7:14" x14ac:dyDescent="0.3">
      <c r="G749">
        <v>745</v>
      </c>
      <c r="H749" s="2" cm="1">
        <f t="array" aca="1" ref="H749:I7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117744.75114618405</v>
      </c>
      <c r="I749" s="3">
        <f ca="1"/>
        <v>5.1251896226777928E-2</v>
      </c>
      <c r="L749" s="1">
        <f ca="1"/>
        <v>23632386.430246647</v>
      </c>
      <c r="N749">
        <f ca="1"/>
        <v>210619.05669322395</v>
      </c>
    </row>
    <row r="750" spans="7:14" x14ac:dyDescent="0.3">
      <c r="G750">
        <v>746</v>
      </c>
      <c r="H750" s="2" cm="1">
        <f t="array" aca="1" ref="H750:I7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3085159.0004232591</v>
      </c>
      <c r="I750" s="3">
        <f ca="1"/>
        <v>7.2819859457158062E-2</v>
      </c>
      <c r="L750" s="1">
        <f ca="1"/>
        <v>0</v>
      </c>
      <c r="N750">
        <f ca="1"/>
        <v>2357323.6752447756</v>
      </c>
    </row>
    <row r="751" spans="7:14" x14ac:dyDescent="0.3">
      <c r="G751">
        <v>747</v>
      </c>
      <c r="H751" s="2" cm="1">
        <f t="array" aca="1" ref="H751:I7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1623468.2396662284</v>
      </c>
      <c r="I751" s="3">
        <f ca="1"/>
        <v>3.6630038758153696E-2</v>
      </c>
      <c r="L751" s="1">
        <f ca="1"/>
        <v>32747441.444093648</v>
      </c>
      <c r="N751">
        <f ca="1"/>
        <v>1617523.4155590457</v>
      </c>
    </row>
    <row r="752" spans="7:14" x14ac:dyDescent="0.3">
      <c r="G752">
        <v>748</v>
      </c>
      <c r="H752" s="2" cm="1">
        <f t="array" aca="1" ref="H752:I7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44269507.040585071</v>
      </c>
      <c r="I752" s="3">
        <f ca="1"/>
        <v>0.10468609228501476</v>
      </c>
      <c r="L752" s="1">
        <f ca="1"/>
        <v>799426.36843163555</v>
      </c>
      <c r="N752">
        <f ca="1"/>
        <v>0</v>
      </c>
    </row>
    <row r="753" spans="7:14" x14ac:dyDescent="0.3">
      <c r="G753">
        <v>749</v>
      </c>
      <c r="H753" s="2" cm="1">
        <f t="array" aca="1" ref="H753:I7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5611224.5237258002</v>
      </c>
      <c r="I753" s="3">
        <f ca="1"/>
        <v>6.5200947756006794E-2</v>
      </c>
      <c r="L753" s="1">
        <f ca="1"/>
        <v>4516834.0946270125</v>
      </c>
      <c r="N753">
        <f ca="1"/>
        <v>0</v>
      </c>
    </row>
    <row r="754" spans="7:14" x14ac:dyDescent="0.3">
      <c r="G754">
        <v>750</v>
      </c>
      <c r="H754" s="2" cm="1">
        <f t="array" aca="1" ref="H754:I7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20221011.014528763</v>
      </c>
      <c r="I754" s="3">
        <f ca="1"/>
        <v>9.3950422603301484E-2</v>
      </c>
      <c r="L754" s="1">
        <f ca="1"/>
        <v>1483960.7274567361</v>
      </c>
      <c r="N754">
        <f ca="1"/>
        <v>0</v>
      </c>
    </row>
    <row r="755" spans="7:14" x14ac:dyDescent="0.3">
      <c r="G755">
        <v>751</v>
      </c>
      <c r="H755" s="2" cm="1">
        <f t="array" aca="1" ref="H755:I7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55" s="3">
        <f ca="1"/>
        <v>1.7154327999657541E-2</v>
      </c>
      <c r="L755" s="1">
        <f ca="1"/>
        <v>8634451.7093596831</v>
      </c>
      <c r="N755">
        <f ca="1"/>
        <v>2716605.2470409698</v>
      </c>
    </row>
    <row r="756" spans="7:14" x14ac:dyDescent="0.3">
      <c r="G756">
        <v>752</v>
      </c>
      <c r="H756" s="2" cm="1">
        <f t="array" aca="1" ref="H756:I7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20741011.104017682</v>
      </c>
      <c r="I756" s="3">
        <f ca="1"/>
        <v>8.8156881117443908E-2</v>
      </c>
      <c r="L756" s="1">
        <f ca="1"/>
        <v>0</v>
      </c>
      <c r="N756">
        <f ca="1"/>
        <v>20763614.889265943</v>
      </c>
    </row>
    <row r="757" spans="7:14" x14ac:dyDescent="0.3">
      <c r="G757">
        <v>753</v>
      </c>
      <c r="H757" s="2" cm="1">
        <f t="array" aca="1" ref="H757:I7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2872050.530989463</v>
      </c>
      <c r="I757" s="3">
        <f ca="1"/>
        <v>7.0414861210425644E-2</v>
      </c>
      <c r="L757" s="1">
        <f ca="1"/>
        <v>8875373.1499331072</v>
      </c>
      <c r="N757">
        <f ca="1"/>
        <v>2674930.8682107669</v>
      </c>
    </row>
    <row r="758" spans="7:14" x14ac:dyDescent="0.3">
      <c r="G758">
        <v>754</v>
      </c>
      <c r="H758" s="2" cm="1">
        <f t="array" aca="1" ref="H758:I7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11056645.387177803</v>
      </c>
      <c r="I758" s="3">
        <f ca="1"/>
        <v>7.720459540671322E-2</v>
      </c>
      <c r="L758" s="1">
        <f ca="1"/>
        <v>0</v>
      </c>
      <c r="N758">
        <f ca="1"/>
        <v>918517.16959785647</v>
      </c>
    </row>
    <row r="759" spans="7:14" x14ac:dyDescent="0.3">
      <c r="G759">
        <v>755</v>
      </c>
      <c r="H759" s="2" cm="1">
        <f t="array" aca="1" ref="H759:I7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11012742.417600393</v>
      </c>
      <c r="I759" s="3">
        <f ca="1"/>
        <v>7.3385154604245245E-2</v>
      </c>
      <c r="L759" s="1">
        <f ca="1"/>
        <v>275225.0705458658</v>
      </c>
      <c r="N759">
        <f ca="1"/>
        <v>10539488.206329489</v>
      </c>
    </row>
    <row r="760" spans="7:14" x14ac:dyDescent="0.3">
      <c r="G760">
        <v>756</v>
      </c>
      <c r="H760" s="2" cm="1">
        <f t="array" aca="1" ref="H760:I7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19145809.058646694</v>
      </c>
      <c r="I760" s="3">
        <f ca="1"/>
        <v>8.6696649122940173E-2</v>
      </c>
      <c r="L760" s="1">
        <f ca="1"/>
        <v>0</v>
      </c>
      <c r="N760">
        <f ca="1"/>
        <v>21797294.05594068</v>
      </c>
    </row>
    <row r="761" spans="7:14" x14ac:dyDescent="0.3">
      <c r="G761">
        <v>757</v>
      </c>
      <c r="H761" s="2" cm="1">
        <f t="array" aca="1" ref="H761:I7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4622137.5059598582</v>
      </c>
      <c r="I761" s="3">
        <f ca="1"/>
        <v>6.7826045724282802E-2</v>
      </c>
      <c r="L761" s="1">
        <f ca="1"/>
        <v>11427321.432031274</v>
      </c>
      <c r="N761">
        <f ca="1"/>
        <v>23047444.226536453</v>
      </c>
    </row>
    <row r="762" spans="7:14" x14ac:dyDescent="0.3">
      <c r="G762">
        <v>758</v>
      </c>
      <c r="H762" s="2" cm="1">
        <f t="array" aca="1" ref="H762:I7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11177429.382315831</v>
      </c>
      <c r="I762" s="3">
        <f ca="1"/>
        <v>7.7680393459774955E-2</v>
      </c>
      <c r="L762" s="1">
        <f ca="1"/>
        <v>0</v>
      </c>
      <c r="N762">
        <f ca="1"/>
        <v>2440813.2458987194</v>
      </c>
    </row>
    <row r="763" spans="7:14" x14ac:dyDescent="0.3">
      <c r="G763">
        <v>759</v>
      </c>
      <c r="H763" s="2" cm="1">
        <f t="array" aca="1" ref="H763:I7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7817284.5881723417</v>
      </c>
      <c r="I763" s="3">
        <f ca="1"/>
        <v>8.9762710832354417E-2</v>
      </c>
      <c r="L763" s="1">
        <f ca="1"/>
        <v>1213452.8295998846</v>
      </c>
      <c r="N763">
        <f ca="1"/>
        <v>75081.08002370123</v>
      </c>
    </row>
    <row r="764" spans="7:14" x14ac:dyDescent="0.3">
      <c r="G764">
        <v>760</v>
      </c>
      <c r="H764" s="2" cm="1">
        <f t="array" aca="1" ref="H764:I7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7683958.3507147701</v>
      </c>
      <c r="I764" s="3">
        <f ca="1"/>
        <v>6.8040740289674287E-2</v>
      </c>
      <c r="L764" s="1">
        <f ca="1"/>
        <v>65025390.607489035</v>
      </c>
      <c r="N764">
        <f ca="1"/>
        <v>20435829.431292161</v>
      </c>
    </row>
    <row r="765" spans="7:14" x14ac:dyDescent="0.3">
      <c r="G765">
        <v>761</v>
      </c>
      <c r="H765" s="2" cm="1">
        <f t="array" aca="1" ref="H765:I7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15781015.02496629</v>
      </c>
      <c r="I765" s="3">
        <f ca="1"/>
        <v>8.2882395008423593E-2</v>
      </c>
      <c r="L765" s="1">
        <f ca="1"/>
        <v>1156110.6205862202</v>
      </c>
      <c r="N765">
        <f ca="1"/>
        <v>0</v>
      </c>
    </row>
    <row r="766" spans="7:14" x14ac:dyDescent="0.3">
      <c r="G766">
        <v>762</v>
      </c>
      <c r="H766" s="2" cm="1">
        <f t="array" aca="1" ref="H766:I7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3909771.8750596722</v>
      </c>
      <c r="I766" s="3">
        <f ca="1"/>
        <v>5.4548809834044067E-2</v>
      </c>
      <c r="L766" s="1">
        <f ca="1"/>
        <v>7869780.879147497</v>
      </c>
      <c r="N766">
        <f ca="1"/>
        <v>0</v>
      </c>
    </row>
    <row r="767" spans="7:14" x14ac:dyDescent="0.3">
      <c r="G767">
        <v>763</v>
      </c>
      <c r="H767" s="2" cm="1">
        <f t="array" aca="1" ref="H767:I7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2492684.084251951</v>
      </c>
      <c r="I767" s="3">
        <f ca="1"/>
        <v>5.6633621595860481E-2</v>
      </c>
      <c r="L767" s="1">
        <f ca="1"/>
        <v>25509848.952564083</v>
      </c>
      <c r="N767">
        <f ca="1"/>
        <v>4945584.5156937297</v>
      </c>
    </row>
    <row r="768" spans="7:14" x14ac:dyDescent="0.3">
      <c r="G768">
        <v>764</v>
      </c>
      <c r="H768" s="2" cm="1">
        <f t="array" aca="1" ref="H768:I7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556484.27414007857</v>
      </c>
      <c r="I768" s="3">
        <f ca="1"/>
        <v>4.1278775496463839E-2</v>
      </c>
      <c r="L768" s="1">
        <f ca="1"/>
        <v>17769826.111302756</v>
      </c>
      <c r="N768">
        <f ca="1"/>
        <v>42107.429720111584</v>
      </c>
    </row>
    <row r="769" spans="7:14" x14ac:dyDescent="0.3">
      <c r="G769">
        <v>765</v>
      </c>
      <c r="H769" s="2" cm="1">
        <f t="array" aca="1" ref="H769:I7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69" s="3">
        <f ca="1"/>
        <v>1.4686975954931398E-2</v>
      </c>
      <c r="L769" s="1">
        <f ca="1"/>
        <v>7266157.1324187452</v>
      </c>
      <c r="N769">
        <f ca="1"/>
        <v>1069364.8124750194</v>
      </c>
    </row>
    <row r="770" spans="7:14" x14ac:dyDescent="0.3">
      <c r="G770">
        <v>766</v>
      </c>
      <c r="H770" s="2" cm="1">
        <f t="array" aca="1" ref="H770:I7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6814198.2708325032</v>
      </c>
      <c r="I770" s="3">
        <f ca="1"/>
        <v>7.3126643086058415E-2</v>
      </c>
      <c r="L770" s="1">
        <f ca="1"/>
        <v>208789.51493049826</v>
      </c>
      <c r="N770">
        <f ca="1"/>
        <v>21042342.291384898</v>
      </c>
    </row>
    <row r="771" spans="7:14" x14ac:dyDescent="0.3">
      <c r="G771">
        <v>767</v>
      </c>
      <c r="H771" s="2" cm="1">
        <f t="array" aca="1" ref="H771:I7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4553511.3085876927</v>
      </c>
      <c r="I771" s="3">
        <f ca="1"/>
        <v>5.7674371419923556E-2</v>
      </c>
      <c r="L771" s="1">
        <f ca="1"/>
        <v>0</v>
      </c>
      <c r="N771">
        <f ca="1"/>
        <v>1347327.4462997674</v>
      </c>
    </row>
    <row r="772" spans="7:14" x14ac:dyDescent="0.3">
      <c r="G772">
        <v>768</v>
      </c>
      <c r="H772" s="2" cm="1">
        <f t="array" aca="1" ref="H772:I7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4939056.9210283281</v>
      </c>
      <c r="I772" s="3">
        <f ca="1"/>
        <v>6.7578104777332892E-2</v>
      </c>
      <c r="L772" s="1">
        <f ca="1"/>
        <v>2942685.8454428148</v>
      </c>
      <c r="N772">
        <f ca="1"/>
        <v>1061797.5708435378</v>
      </c>
    </row>
    <row r="773" spans="7:14" x14ac:dyDescent="0.3">
      <c r="G773">
        <v>769</v>
      </c>
      <c r="H773" s="2" cm="1">
        <f t="array" aca="1" ref="H773:I7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252322.92044742257</v>
      </c>
      <c r="I773" s="3">
        <f ca="1"/>
        <v>5.9535522780070883E-2</v>
      </c>
      <c r="L773" s="1">
        <f ca="1"/>
        <v>1398866.1765856002</v>
      </c>
      <c r="N773">
        <f ca="1"/>
        <v>273507.38796831685</v>
      </c>
    </row>
    <row r="774" spans="7:14" x14ac:dyDescent="0.3">
      <c r="G774">
        <v>770</v>
      </c>
      <c r="H774" s="2" cm="1">
        <f t="array" aca="1" ref="H774:I7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37138260.779168084</v>
      </c>
      <c r="I774" s="3">
        <f ca="1"/>
        <v>0.10117594832358442</v>
      </c>
      <c r="L774" s="1">
        <f ca="1"/>
        <v>0</v>
      </c>
      <c r="N774">
        <f ca="1"/>
        <v>182379.67592027015</v>
      </c>
    </row>
    <row r="775" spans="7:14" x14ac:dyDescent="0.3">
      <c r="G775">
        <v>771</v>
      </c>
      <c r="H775" s="2" cm="1">
        <f t="array" aca="1" ref="H775:I7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75" s="3">
        <f ca="1"/>
        <v>3.160315337026412E-2</v>
      </c>
      <c r="L775" s="1">
        <f ca="1"/>
        <v>24549047.183089279</v>
      </c>
      <c r="N775">
        <f ca="1"/>
        <v>9951166.6306241229</v>
      </c>
    </row>
    <row r="776" spans="7:14" x14ac:dyDescent="0.3">
      <c r="G776">
        <v>772</v>
      </c>
      <c r="H776" s="2" cm="1">
        <f t="array" aca="1" ref="H776:I7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651608.08839057048</v>
      </c>
      <c r="I776" s="3">
        <f ca="1"/>
        <v>6.7552679882165803E-2</v>
      </c>
      <c r="L776" s="1">
        <f ca="1"/>
        <v>9996729.3449305594</v>
      </c>
      <c r="N776">
        <f ca="1"/>
        <v>3936124.9726713132</v>
      </c>
    </row>
    <row r="777" spans="7:14" x14ac:dyDescent="0.3">
      <c r="G777">
        <v>773</v>
      </c>
      <c r="H777" s="2" cm="1">
        <f t="array" aca="1" ref="H777:I7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2980577.5399345863</v>
      </c>
      <c r="I777" s="3">
        <f ca="1"/>
        <v>5.2040714364445705E-2</v>
      </c>
      <c r="L777" s="1">
        <f ca="1"/>
        <v>4969527.4982876265</v>
      </c>
      <c r="N777">
        <f ca="1"/>
        <v>38300968.822833955</v>
      </c>
    </row>
    <row r="778" spans="7:14" x14ac:dyDescent="0.3">
      <c r="G778">
        <v>774</v>
      </c>
      <c r="H778" s="2" cm="1">
        <f t="array" aca="1" ref="H778:I7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1223358.4581795884</v>
      </c>
      <c r="I778" s="3">
        <f ca="1"/>
        <v>6.2653194071046858E-2</v>
      </c>
      <c r="L778" s="1">
        <f ca="1"/>
        <v>0</v>
      </c>
      <c r="N778">
        <f ca="1"/>
        <v>3836373.020186807</v>
      </c>
    </row>
    <row r="779" spans="7:14" x14ac:dyDescent="0.3">
      <c r="G779">
        <v>775</v>
      </c>
      <c r="H779" s="2" cm="1">
        <f t="array" aca="1" ref="H779:I7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3210704.5315659503</v>
      </c>
      <c r="I779" s="3">
        <f ca="1"/>
        <v>5.244080394155639E-2</v>
      </c>
      <c r="L779" s="1">
        <f ca="1"/>
        <v>7272554.7339941468</v>
      </c>
      <c r="N779">
        <f ca="1"/>
        <v>20858919.36494983</v>
      </c>
    </row>
    <row r="780" spans="7:14" x14ac:dyDescent="0.3">
      <c r="G780">
        <v>776</v>
      </c>
      <c r="H780" s="2" cm="1">
        <f t="array" aca="1" ref="H780:I7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7037340.4756749207</v>
      </c>
      <c r="I780" s="3">
        <f ca="1"/>
        <v>8.1034658115372485E-2</v>
      </c>
      <c r="L780" s="1">
        <f ca="1"/>
        <v>3173804.439383253</v>
      </c>
      <c r="N780">
        <f ca="1"/>
        <v>10658830.055037657</v>
      </c>
    </row>
    <row r="781" spans="7:14" x14ac:dyDescent="0.3">
      <c r="G781">
        <v>777</v>
      </c>
      <c r="H781" s="2" cm="1">
        <f t="array" aca="1" ref="H781:I7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81" s="3">
        <f ca="1"/>
        <v>5.5389399356847481E-2</v>
      </c>
      <c r="L781" s="1">
        <f ca="1"/>
        <v>0</v>
      </c>
      <c r="N781">
        <f ca="1"/>
        <v>326933.18807984609</v>
      </c>
    </row>
    <row r="782" spans="7:14" x14ac:dyDescent="0.3">
      <c r="G782">
        <v>778</v>
      </c>
      <c r="H782" s="2" cm="1">
        <f t="array" aca="1" ref="H782:I7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15018972.949790221</v>
      </c>
      <c r="I782" s="3">
        <f ca="1"/>
        <v>8.6746373180422401E-2</v>
      </c>
      <c r="L782" s="1">
        <f ca="1"/>
        <v>3512765.4715759144</v>
      </c>
      <c r="N782">
        <f ca="1"/>
        <v>5089855.8995548971</v>
      </c>
    </row>
    <row r="783" spans="7:14" x14ac:dyDescent="0.3">
      <c r="G783">
        <v>779</v>
      </c>
      <c r="H783" s="2" cm="1">
        <f t="array" aca="1" ref="H783:I7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83" s="3">
        <f ca="1"/>
        <v>3.9018777637011628E-2</v>
      </c>
      <c r="L783" s="1">
        <f ca="1"/>
        <v>478808.56583789591</v>
      </c>
      <c r="N783">
        <f ca="1"/>
        <v>11887135.868937057</v>
      </c>
    </row>
    <row r="784" spans="7:14" x14ac:dyDescent="0.3">
      <c r="G784">
        <v>780</v>
      </c>
      <c r="H784" s="2" cm="1">
        <f t="array" aca="1" ref="H784:I7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666691.25078340899</v>
      </c>
      <c r="I784" s="3">
        <f ca="1"/>
        <v>4.6972949626838165E-2</v>
      </c>
      <c r="L784" s="1">
        <f ca="1"/>
        <v>3551752.2403318286</v>
      </c>
      <c r="N784">
        <f ca="1"/>
        <v>616011.65851725428</v>
      </c>
    </row>
    <row r="785" spans="7:14" x14ac:dyDescent="0.3">
      <c r="G785">
        <v>781</v>
      </c>
      <c r="H785" s="2" cm="1">
        <f t="array" aca="1" ref="H785:I7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2444704.2531088111</v>
      </c>
      <c r="I785" s="3">
        <f ca="1"/>
        <v>4.9544048138816944E-2</v>
      </c>
      <c r="L785" s="1">
        <f ca="1"/>
        <v>5405181.8004285162</v>
      </c>
      <c r="N785">
        <f ca="1"/>
        <v>118694.45864586694</v>
      </c>
    </row>
    <row r="786" spans="7:14" x14ac:dyDescent="0.3">
      <c r="G786">
        <v>782</v>
      </c>
      <c r="H786" s="2" cm="1">
        <f t="array" aca="1" ref="H786:I7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86" s="3">
        <f ca="1"/>
        <v>3.5904131082621735E-2</v>
      </c>
      <c r="L786" s="1">
        <f ca="1"/>
        <v>11035400.031285495</v>
      </c>
      <c r="N786">
        <f ca="1"/>
        <v>1943855.9193412841</v>
      </c>
    </row>
    <row r="787" spans="7:14" x14ac:dyDescent="0.3">
      <c r="G787">
        <v>783</v>
      </c>
      <c r="H787" s="2" cm="1">
        <f t="array" aca="1" ref="H787:I7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2796844.326880476</v>
      </c>
      <c r="I787" s="3">
        <f ca="1"/>
        <v>5.1787419853539039E-2</v>
      </c>
      <c r="L787" s="1">
        <f ca="1"/>
        <v>9754356.7160485033</v>
      </c>
      <c r="N787">
        <f ca="1"/>
        <v>3967768.5226682196</v>
      </c>
    </row>
    <row r="788" spans="7:14" x14ac:dyDescent="0.3">
      <c r="G788">
        <v>784</v>
      </c>
      <c r="H788" s="2" cm="1">
        <f t="array" aca="1" ref="H788:I7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820475.0155909278</v>
      </c>
      <c r="I788" s="3">
        <f ca="1"/>
        <v>5.2061065482936E-2</v>
      </c>
      <c r="L788" s="1">
        <f ca="1"/>
        <v>682160.54267080815</v>
      </c>
      <c r="N788">
        <f ca="1"/>
        <v>6299845.5634563984</v>
      </c>
    </row>
    <row r="789" spans="7:14" x14ac:dyDescent="0.3">
      <c r="G789">
        <v>785</v>
      </c>
      <c r="H789" s="2" cm="1">
        <f t="array" aca="1" ref="H789:I7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89" s="3">
        <f ca="1"/>
        <v>2.6207511106032567E-2</v>
      </c>
      <c r="L789" s="1">
        <f ca="1"/>
        <v>1031783.9998035755</v>
      </c>
      <c r="N789">
        <f ca="1"/>
        <v>22790187.436317425</v>
      </c>
    </row>
    <row r="790" spans="7:14" x14ac:dyDescent="0.3">
      <c r="G790">
        <v>786</v>
      </c>
      <c r="H790" s="2" cm="1">
        <f t="array" aca="1" ref="H790:I7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7979200.6865855427</v>
      </c>
      <c r="I790" s="3">
        <f ca="1"/>
        <v>7.4409569970254191E-2</v>
      </c>
      <c r="L790" s="1">
        <f ca="1"/>
        <v>0</v>
      </c>
      <c r="N790">
        <f ca="1"/>
        <v>3635730.8264591582</v>
      </c>
    </row>
    <row r="791" spans="7:14" x14ac:dyDescent="0.3">
      <c r="G791">
        <v>787</v>
      </c>
      <c r="H791" s="2" cm="1">
        <f t="array" aca="1" ref="H791:I7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791" s="3">
        <f ca="1"/>
        <v>2.5817054426773768E-2</v>
      </c>
      <c r="L791" s="1">
        <f ca="1"/>
        <v>0</v>
      </c>
      <c r="N791">
        <f ca="1"/>
        <v>10462981.465529177</v>
      </c>
    </row>
    <row r="792" spans="7:14" x14ac:dyDescent="0.3">
      <c r="G792">
        <v>788</v>
      </c>
      <c r="H792" s="2" cm="1">
        <f t="array" aca="1" ref="H792:I7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12084630.642374409</v>
      </c>
      <c r="I792" s="3">
        <f ca="1"/>
        <v>8.3358921264497315E-2</v>
      </c>
      <c r="L792" s="1">
        <f ca="1"/>
        <v>2903911.1092091575</v>
      </c>
      <c r="N792">
        <f ca="1"/>
        <v>824974.45043843193</v>
      </c>
    </row>
    <row r="793" spans="7:14" x14ac:dyDescent="0.3">
      <c r="G793">
        <v>789</v>
      </c>
      <c r="H793" s="2" cm="1">
        <f t="array" aca="1" ref="H793:I7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17686815.770978853</v>
      </c>
      <c r="I793" s="3">
        <f ca="1"/>
        <v>8.9291971068344494E-2</v>
      </c>
      <c r="L793" s="1">
        <f ca="1"/>
        <v>878422.37337018317</v>
      </c>
      <c r="N793">
        <f ca="1"/>
        <v>1718145.5205969596</v>
      </c>
    </row>
    <row r="794" spans="7:14" x14ac:dyDescent="0.3">
      <c r="G794">
        <v>790</v>
      </c>
      <c r="H794" s="2" cm="1">
        <f t="array" aca="1" ref="H794:I7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17004980.751411192</v>
      </c>
      <c r="I794" s="3">
        <f ca="1"/>
        <v>9.3289249549985603E-2</v>
      </c>
      <c r="L794" s="1">
        <f ca="1"/>
        <v>2494579.1070081233</v>
      </c>
      <c r="N794">
        <f ca="1"/>
        <v>0</v>
      </c>
    </row>
    <row r="795" spans="7:14" x14ac:dyDescent="0.3">
      <c r="G795">
        <v>791</v>
      </c>
      <c r="H795" s="2" cm="1">
        <f t="array" aca="1" ref="H795:I7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5262594.3015076816</v>
      </c>
      <c r="I795" s="3">
        <f ca="1"/>
        <v>6.0990666913770843E-2</v>
      </c>
      <c r="L795" s="1">
        <f ca="1"/>
        <v>0</v>
      </c>
      <c r="N795">
        <f ca="1"/>
        <v>974890.53106265864</v>
      </c>
    </row>
    <row r="796" spans="7:14" x14ac:dyDescent="0.3">
      <c r="G796">
        <v>792</v>
      </c>
      <c r="H796" s="2" cm="1">
        <f t="array" aca="1" ref="H796:I7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11469216.200029448</v>
      </c>
      <c r="I796" s="3">
        <f ca="1"/>
        <v>8.7428547768105172E-2</v>
      </c>
      <c r="L796" s="1">
        <f ca="1"/>
        <v>0</v>
      </c>
      <c r="N796">
        <f ca="1"/>
        <v>0</v>
      </c>
    </row>
    <row r="797" spans="7:14" x14ac:dyDescent="0.3">
      <c r="G797">
        <v>793</v>
      </c>
      <c r="H797" s="2" cm="1">
        <f t="array" aca="1" ref="H797:I7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4544066.3761324733</v>
      </c>
      <c r="I797" s="3">
        <f ca="1"/>
        <v>5.4311159850139012E-2</v>
      </c>
      <c r="L797" s="1">
        <f ca="1"/>
        <v>3189977.563533159</v>
      </c>
      <c r="N797">
        <f ca="1"/>
        <v>0</v>
      </c>
    </row>
    <row r="798" spans="7:14" x14ac:dyDescent="0.3">
      <c r="G798">
        <v>794</v>
      </c>
      <c r="H798" s="2" cm="1">
        <f t="array" aca="1" ref="H798:I7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5641864.8011680245</v>
      </c>
      <c r="I798" s="3">
        <f ca="1"/>
        <v>6.7536028691644809E-2</v>
      </c>
      <c r="L798" s="1">
        <f ca="1"/>
        <v>2094589.3541036723</v>
      </c>
      <c r="N798">
        <f ca="1"/>
        <v>3328529.8543511536</v>
      </c>
    </row>
    <row r="799" spans="7:14" x14ac:dyDescent="0.3">
      <c r="G799">
        <v>795</v>
      </c>
      <c r="H799" s="2" cm="1">
        <f t="array" aca="1" ref="H799:I7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676023.73701722955</v>
      </c>
      <c r="I799" s="3">
        <f ca="1"/>
        <v>5.344709155283571E-2</v>
      </c>
      <c r="L799" s="1">
        <f ca="1"/>
        <v>0</v>
      </c>
      <c r="N799">
        <f ca="1"/>
        <v>9487938.7965943851</v>
      </c>
    </row>
    <row r="800" spans="7:14" x14ac:dyDescent="0.3">
      <c r="G800">
        <v>796</v>
      </c>
      <c r="H800" s="2" cm="1">
        <f t="array" aca="1" ref="H800:I8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00" s="3">
        <f ca="1"/>
        <v>5.9405070429324303E-2</v>
      </c>
      <c r="L800" s="1">
        <f ca="1"/>
        <v>415295.7322843835</v>
      </c>
      <c r="N800">
        <f ca="1"/>
        <v>4985898.3863020446</v>
      </c>
    </row>
    <row r="801" spans="7:14" x14ac:dyDescent="0.3">
      <c r="G801">
        <v>797</v>
      </c>
      <c r="H801" s="2" cm="1">
        <f t="array" aca="1" ref="H801:I8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7926645.4126924267</v>
      </c>
      <c r="I801" s="3">
        <f ca="1"/>
        <v>6.7064070915475907E-2</v>
      </c>
      <c r="L801" s="1">
        <f ca="1"/>
        <v>6003710.6463035978</v>
      </c>
      <c r="N801">
        <f ca="1"/>
        <v>5389418.1644846713</v>
      </c>
    </row>
    <row r="802" spans="7:14" x14ac:dyDescent="0.3">
      <c r="G802">
        <v>798</v>
      </c>
      <c r="H802" s="2" cm="1">
        <f t="array" aca="1" ref="H802:I8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9821522.5850944202</v>
      </c>
      <c r="I802" s="3">
        <f ca="1"/>
        <v>8.6009701530762372E-2</v>
      </c>
      <c r="L802" s="1">
        <f ca="1"/>
        <v>3353752.5997691336</v>
      </c>
      <c r="N802">
        <f ca="1"/>
        <v>0</v>
      </c>
    </row>
    <row r="803" spans="7:14" x14ac:dyDescent="0.3">
      <c r="G803">
        <v>799</v>
      </c>
      <c r="H803" s="2" cm="1">
        <f t="array" aca="1" ref="H803:I8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10228571.463344848</v>
      </c>
      <c r="I803" s="3">
        <f ca="1"/>
        <v>7.3201346928682007E-2</v>
      </c>
      <c r="L803" s="1">
        <f ca="1"/>
        <v>679885.85018047702</v>
      </c>
      <c r="N803">
        <f ca="1"/>
        <v>0</v>
      </c>
    </row>
    <row r="804" spans="7:14" x14ac:dyDescent="0.3">
      <c r="G804">
        <v>800</v>
      </c>
      <c r="H804" s="2" cm="1">
        <f t="array" aca="1" ref="H804:I8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04" s="3">
        <f ca="1"/>
        <v>3.3744832842647746E-2</v>
      </c>
      <c r="L804" s="1">
        <f ca="1"/>
        <v>8903979.1596756503</v>
      </c>
      <c r="N804">
        <f ca="1"/>
        <v>0</v>
      </c>
    </row>
    <row r="805" spans="7:14" x14ac:dyDescent="0.3">
      <c r="G805">
        <v>801</v>
      </c>
      <c r="H805" s="2" cm="1">
        <f t="array" aca="1" ref="H805:I8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05" s="3">
        <f ca="1"/>
        <v>4.5446176817924247E-2</v>
      </c>
      <c r="L805" s="1">
        <f ca="1"/>
        <v>563531.07367161626</v>
      </c>
      <c r="N805">
        <f ca="1"/>
        <v>54653742.348373748</v>
      </c>
    </row>
    <row r="806" spans="7:14" x14ac:dyDescent="0.3">
      <c r="G806">
        <v>802</v>
      </c>
      <c r="H806" s="2" cm="1">
        <f t="array" aca="1" ref="H806:I8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21335515.139784548</v>
      </c>
      <c r="I806" s="3">
        <f ca="1"/>
        <v>8.9335199139129656E-2</v>
      </c>
      <c r="L806" s="1">
        <f ca="1"/>
        <v>7287216.2958164029</v>
      </c>
      <c r="N806">
        <f ca="1"/>
        <v>487132.27765671123</v>
      </c>
    </row>
    <row r="807" spans="7:14" x14ac:dyDescent="0.3">
      <c r="G807">
        <v>803</v>
      </c>
      <c r="H807" s="2" cm="1">
        <f t="array" aca="1" ref="H807:I8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07" s="3">
        <f ca="1"/>
        <v>3.3778740446986297E-2</v>
      </c>
      <c r="L807" s="1">
        <f ca="1"/>
        <v>26086591.734063193</v>
      </c>
      <c r="N807">
        <f ca="1"/>
        <v>13505951.562503412</v>
      </c>
    </row>
    <row r="808" spans="7:14" x14ac:dyDescent="0.3">
      <c r="G808">
        <v>804</v>
      </c>
      <c r="H808" s="2" cm="1">
        <f t="array" aca="1" ref="H808:I8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08" s="3">
        <f ca="1"/>
        <v>3.2574338060761689E-2</v>
      </c>
      <c r="L808" s="1">
        <f ca="1"/>
        <v>9219867.1173025034</v>
      </c>
      <c r="N808">
        <f ca="1"/>
        <v>30445639.755827673</v>
      </c>
    </row>
    <row r="809" spans="7:14" x14ac:dyDescent="0.3">
      <c r="G809">
        <v>805</v>
      </c>
      <c r="H809" s="2" cm="1">
        <f t="array" aca="1" ref="H809:I8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3571391.8539487571</v>
      </c>
      <c r="I809" s="3">
        <f ca="1"/>
        <v>5.1680128112774761E-2</v>
      </c>
      <c r="L809" s="1">
        <f ca="1"/>
        <v>0</v>
      </c>
      <c r="N809">
        <f ca="1"/>
        <v>637480.07838291884</v>
      </c>
    </row>
    <row r="810" spans="7:14" x14ac:dyDescent="0.3">
      <c r="G810">
        <v>806</v>
      </c>
      <c r="H810" s="2" cm="1">
        <f t="array" aca="1" ref="H810:I8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31404434.894234568</v>
      </c>
      <c r="I810" s="3">
        <f ca="1"/>
        <v>9.9723914563765031E-2</v>
      </c>
      <c r="L810" s="1">
        <f ca="1"/>
        <v>3011945.8097447916</v>
      </c>
      <c r="N810">
        <f ca="1"/>
        <v>2786367.5009833649</v>
      </c>
    </row>
    <row r="811" spans="7:14" x14ac:dyDescent="0.3">
      <c r="G811">
        <v>807</v>
      </c>
      <c r="H811" s="2" cm="1">
        <f t="array" aca="1" ref="H811:I8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11" s="3">
        <f ca="1"/>
        <v>6.3184459800234738E-2</v>
      </c>
      <c r="L811" s="1">
        <f ca="1"/>
        <v>2461302.9098564549</v>
      </c>
      <c r="N811">
        <f ca="1"/>
        <v>16261698.140411917</v>
      </c>
    </row>
    <row r="812" spans="7:14" x14ac:dyDescent="0.3">
      <c r="G812">
        <v>808</v>
      </c>
      <c r="H812" s="2" cm="1">
        <f t="array" aca="1" ref="H812:I8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7552712.3207430132</v>
      </c>
      <c r="I812" s="3">
        <f ca="1"/>
        <v>7.5011790051810967E-2</v>
      </c>
      <c r="L812" s="1">
        <f ca="1"/>
        <v>2416981.0145476749</v>
      </c>
      <c r="N812">
        <f ca="1"/>
        <v>1148705.7178742772</v>
      </c>
    </row>
    <row r="813" spans="7:14" x14ac:dyDescent="0.3">
      <c r="G813">
        <v>809</v>
      </c>
      <c r="H813" s="2" cm="1">
        <f t="array" aca="1" ref="H813:I8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4452281.1528031463</v>
      </c>
      <c r="I813" s="3">
        <f ca="1"/>
        <v>6.3096886863079696E-2</v>
      </c>
      <c r="L813" s="1">
        <f ca="1"/>
        <v>0</v>
      </c>
      <c r="N813">
        <f ca="1"/>
        <v>5256860.0808821721</v>
      </c>
    </row>
    <row r="814" spans="7:14" x14ac:dyDescent="0.3">
      <c r="G814">
        <v>810</v>
      </c>
      <c r="H814" s="2" cm="1">
        <f t="array" aca="1" ref="H814:I8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10305916.959197026</v>
      </c>
      <c r="I814" s="3">
        <f ca="1"/>
        <v>8.0771708408386794E-2</v>
      </c>
      <c r="L814" s="1">
        <f ca="1"/>
        <v>2143443.036013566</v>
      </c>
      <c r="N814">
        <f ca="1"/>
        <v>0</v>
      </c>
    </row>
    <row r="815" spans="7:14" x14ac:dyDescent="0.3">
      <c r="G815">
        <v>811</v>
      </c>
      <c r="H815" s="2" cm="1">
        <f t="array" aca="1" ref="H815:I8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3985466.4065516097</v>
      </c>
      <c r="I815" s="3">
        <f ca="1"/>
        <v>6.8215820144687037E-2</v>
      </c>
      <c r="L815" s="1">
        <f ca="1"/>
        <v>981067.73863138375</v>
      </c>
      <c r="N815">
        <f ca="1"/>
        <v>2781410.4167813496</v>
      </c>
    </row>
    <row r="816" spans="7:14" x14ac:dyDescent="0.3">
      <c r="G816">
        <v>812</v>
      </c>
      <c r="H816" s="2" cm="1">
        <f t="array" aca="1" ref="H816:I8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16" s="3">
        <f ca="1"/>
        <v>2.4819575832276904E-2</v>
      </c>
      <c r="L816" s="1">
        <f ca="1"/>
        <v>2207706.179084694</v>
      </c>
      <c r="N816">
        <f ca="1"/>
        <v>0</v>
      </c>
    </row>
    <row r="817" spans="7:14" x14ac:dyDescent="0.3">
      <c r="G817">
        <v>813</v>
      </c>
      <c r="H817" s="2" cm="1">
        <f t="array" aca="1" ref="H817:I8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48301800.114029296</v>
      </c>
      <c r="I817" s="3">
        <f ca="1"/>
        <v>0.10863480439592457</v>
      </c>
      <c r="L817" s="1">
        <f ca="1"/>
        <v>189039.3887937984</v>
      </c>
      <c r="N817">
        <f ca="1"/>
        <v>8331996.0482773902</v>
      </c>
    </row>
    <row r="818" spans="7:14" x14ac:dyDescent="0.3">
      <c r="G818">
        <v>814</v>
      </c>
      <c r="H818" s="2" cm="1">
        <f t="array" aca="1" ref="H818:I8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6526711.1444066959</v>
      </c>
      <c r="I818" s="3">
        <f ca="1"/>
        <v>7.3360303177131242E-2</v>
      </c>
      <c r="L818" s="1">
        <f ca="1"/>
        <v>20106514.516523942</v>
      </c>
      <c r="N818">
        <f ca="1"/>
        <v>13630645.424043614</v>
      </c>
    </row>
    <row r="819" spans="7:14" x14ac:dyDescent="0.3">
      <c r="G819">
        <v>815</v>
      </c>
      <c r="H819" s="2" cm="1">
        <f t="array" aca="1" ref="H819:I8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19" s="3">
        <f ca="1"/>
        <v>4.2631454947239453E-2</v>
      </c>
      <c r="L819" s="1">
        <f ca="1"/>
        <v>10551019.606349986</v>
      </c>
      <c r="N819">
        <f ca="1"/>
        <v>41141995.338115022</v>
      </c>
    </row>
    <row r="820" spans="7:14" x14ac:dyDescent="0.3">
      <c r="G820">
        <v>816</v>
      </c>
      <c r="H820" s="2" cm="1">
        <f t="array" aca="1" ref="H820:I8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177677.83247882608</v>
      </c>
      <c r="I820" s="3">
        <f ca="1"/>
        <v>2.8641981825628205E-2</v>
      </c>
      <c r="L820" s="1">
        <f ca="1"/>
        <v>971330.34775150451</v>
      </c>
      <c r="N820">
        <f ca="1"/>
        <v>693441.46601941297</v>
      </c>
    </row>
    <row r="821" spans="7:14" x14ac:dyDescent="0.3">
      <c r="G821">
        <v>817</v>
      </c>
      <c r="H821" s="2" cm="1">
        <f t="array" aca="1" ref="H821:I8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6978435.7186386036</v>
      </c>
      <c r="I821" s="3">
        <f ca="1"/>
        <v>7.1256765654544876E-2</v>
      </c>
      <c r="L821" s="1">
        <f ca="1"/>
        <v>9770389.4419833496</v>
      </c>
      <c r="N821">
        <f ca="1"/>
        <v>1204835.1196751387</v>
      </c>
    </row>
    <row r="822" spans="7:14" x14ac:dyDescent="0.3">
      <c r="G822">
        <v>818</v>
      </c>
      <c r="H822" s="2" cm="1">
        <f t="array" aca="1" ref="H822:I8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4500334.7040793495</v>
      </c>
      <c r="I822" s="3">
        <f ca="1"/>
        <v>5.5706879333297231E-2</v>
      </c>
      <c r="L822" s="1">
        <f ca="1"/>
        <v>10143239.832425114</v>
      </c>
      <c r="N822">
        <f ca="1"/>
        <v>0</v>
      </c>
    </row>
    <row r="823" spans="7:14" x14ac:dyDescent="0.3">
      <c r="G823">
        <v>819</v>
      </c>
      <c r="H823" s="2" cm="1">
        <f t="array" aca="1" ref="H823:I8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682773.84089534415</v>
      </c>
      <c r="I823" s="3">
        <f ca="1"/>
        <v>2.8997191542347561E-2</v>
      </c>
      <c r="L823" s="1">
        <f ca="1"/>
        <v>11577203.777272543</v>
      </c>
      <c r="N823">
        <f ca="1"/>
        <v>0</v>
      </c>
    </row>
    <row r="824" spans="7:14" x14ac:dyDescent="0.3">
      <c r="G824">
        <v>820</v>
      </c>
      <c r="H824" s="2" cm="1">
        <f t="array" aca="1" ref="H824:I8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24" s="3">
        <f ca="1"/>
        <v>4.4557524862995322E-2</v>
      </c>
      <c r="L824" s="1">
        <f ca="1"/>
        <v>7908606.3631237801</v>
      </c>
      <c r="N824">
        <f ca="1"/>
        <v>8597852.2256605998</v>
      </c>
    </row>
    <row r="825" spans="7:14" x14ac:dyDescent="0.3">
      <c r="G825">
        <v>821</v>
      </c>
      <c r="H825" s="2" cm="1">
        <f t="array" aca="1" ref="H825:I8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25" s="3">
        <f ca="1"/>
        <v>6.0643535893003753E-2</v>
      </c>
      <c r="L825" s="1">
        <f ca="1"/>
        <v>3371324.1688506417</v>
      </c>
      <c r="N825">
        <f ca="1"/>
        <v>1775741.8084974752</v>
      </c>
    </row>
    <row r="826" spans="7:14" x14ac:dyDescent="0.3">
      <c r="G826">
        <v>822</v>
      </c>
      <c r="H826" s="2" cm="1">
        <f t="array" aca="1" ref="H826:I8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26" s="3">
        <f ca="1"/>
        <v>7.5410319312783497E-3</v>
      </c>
      <c r="L826" s="1">
        <f ca="1"/>
        <v>98635.922664327998</v>
      </c>
      <c r="N826">
        <f ca="1"/>
        <v>0</v>
      </c>
    </row>
    <row r="827" spans="7:14" x14ac:dyDescent="0.3">
      <c r="G827">
        <v>823</v>
      </c>
      <c r="H827" s="2" cm="1">
        <f t="array" aca="1" ref="H827:I8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14285809.527678266</v>
      </c>
      <c r="I827" s="3">
        <f ca="1"/>
        <v>8.6993101085508909E-2</v>
      </c>
      <c r="L827" s="1">
        <f ca="1"/>
        <v>1305634.0542297654</v>
      </c>
      <c r="N827">
        <f ca="1"/>
        <v>0</v>
      </c>
    </row>
    <row r="828" spans="7:14" x14ac:dyDescent="0.3">
      <c r="G828">
        <v>824</v>
      </c>
      <c r="H828" s="2" cm="1">
        <f t="array" aca="1" ref="H828:I8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4558319.395264498</v>
      </c>
      <c r="I828" s="3">
        <f ca="1"/>
        <v>6.8153996766460917E-2</v>
      </c>
      <c r="L828" s="1">
        <f ca="1"/>
        <v>2212209.4797743065</v>
      </c>
      <c r="N828">
        <f ca="1"/>
        <v>2526187.4246664396</v>
      </c>
    </row>
    <row r="829" spans="7:14" x14ac:dyDescent="0.3">
      <c r="G829">
        <v>825</v>
      </c>
      <c r="H829" s="2" cm="1">
        <f t="array" aca="1" ref="H829:I8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4369870.350723695</v>
      </c>
      <c r="I829" s="3">
        <f ca="1"/>
        <v>6.1656775138976348E-2</v>
      </c>
      <c r="L829" s="1">
        <f ca="1"/>
        <v>0</v>
      </c>
      <c r="N829">
        <f ca="1"/>
        <v>28911014.755383108</v>
      </c>
    </row>
    <row r="830" spans="7:14" x14ac:dyDescent="0.3">
      <c r="G830">
        <v>826</v>
      </c>
      <c r="H830" s="2" cm="1">
        <f t="array" aca="1" ref="H830:I8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5339729.9957647342</v>
      </c>
      <c r="I830" s="3">
        <f ca="1"/>
        <v>6.1570993619589197E-2</v>
      </c>
      <c r="L830" s="1">
        <f ca="1"/>
        <v>5522624.4595793998</v>
      </c>
      <c r="N830">
        <f ca="1"/>
        <v>752756.04654331133</v>
      </c>
    </row>
    <row r="831" spans="7:14" x14ac:dyDescent="0.3">
      <c r="G831">
        <v>827</v>
      </c>
      <c r="H831" s="2" cm="1">
        <f t="array" aca="1" ref="H831:I8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5353556.1407950344</v>
      </c>
      <c r="I831" s="3">
        <f ca="1"/>
        <v>6.3748198214791912E-2</v>
      </c>
      <c r="L831" s="1">
        <f ca="1"/>
        <v>1518240.5386393792</v>
      </c>
      <c r="N831">
        <f ca="1"/>
        <v>18684616.958300222</v>
      </c>
    </row>
    <row r="832" spans="7:14" x14ac:dyDescent="0.3">
      <c r="G832">
        <v>828</v>
      </c>
      <c r="H832" s="2" cm="1">
        <f t="array" aca="1" ref="H832:I8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650028.07246393431</v>
      </c>
      <c r="I832" s="3">
        <f ca="1"/>
        <v>4.1331076061257042E-2</v>
      </c>
      <c r="L832" s="1">
        <f ca="1"/>
        <v>1132874.7811079142</v>
      </c>
      <c r="N832">
        <f ca="1"/>
        <v>4038611.4123809808</v>
      </c>
    </row>
    <row r="833" spans="7:14" x14ac:dyDescent="0.3">
      <c r="G833">
        <v>829</v>
      </c>
      <c r="H833" s="2" cm="1">
        <f t="array" aca="1" ref="H833:I8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4364068.6427990757</v>
      </c>
      <c r="I833" s="3">
        <f ca="1"/>
        <v>7.4902879486306279E-2</v>
      </c>
      <c r="L833" s="1">
        <f ca="1"/>
        <v>0</v>
      </c>
      <c r="N833">
        <f ca="1"/>
        <v>13861942.382810881</v>
      </c>
    </row>
    <row r="834" spans="7:14" x14ac:dyDescent="0.3">
      <c r="G834">
        <v>830</v>
      </c>
      <c r="H834" s="2" cm="1">
        <f t="array" aca="1" ref="H834:I8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3356518.4070206983</v>
      </c>
      <c r="I834" s="3">
        <f ca="1"/>
        <v>5.6854122164841106E-2</v>
      </c>
      <c r="L834" s="1">
        <f ca="1"/>
        <v>871301.49653369642</v>
      </c>
      <c r="N834">
        <f ca="1"/>
        <v>0</v>
      </c>
    </row>
    <row r="835" spans="7:14" x14ac:dyDescent="0.3">
      <c r="G835">
        <v>831</v>
      </c>
      <c r="H835" s="2" cm="1">
        <f t="array" aca="1" ref="H835:I8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1979055.629784673</v>
      </c>
      <c r="I835" s="3">
        <f ca="1"/>
        <v>6.0592823651639184E-2</v>
      </c>
      <c r="L835" s="1">
        <f ca="1"/>
        <v>59612659.214289308</v>
      </c>
      <c r="N835">
        <f ca="1"/>
        <v>1121697.950011034</v>
      </c>
    </row>
    <row r="836" spans="7:14" x14ac:dyDescent="0.3">
      <c r="G836">
        <v>832</v>
      </c>
      <c r="H836" s="2" cm="1">
        <f t="array" aca="1" ref="H836:I8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4629766.635512244</v>
      </c>
      <c r="I836" s="3">
        <f ca="1"/>
        <v>7.1259152365369033E-2</v>
      </c>
      <c r="L836" s="1">
        <f ca="1"/>
        <v>0</v>
      </c>
      <c r="N836">
        <f ca="1"/>
        <v>7776363.383360792</v>
      </c>
    </row>
    <row r="837" spans="7:14" x14ac:dyDescent="0.3">
      <c r="G837">
        <v>833</v>
      </c>
      <c r="H837" s="2" cm="1">
        <f t="array" aca="1" ref="H837:I8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613187.98526129615</v>
      </c>
      <c r="I837" s="3">
        <f ca="1"/>
        <v>5.6860147717683107E-2</v>
      </c>
      <c r="L837" s="1">
        <f ca="1"/>
        <v>1028843.7306644418</v>
      </c>
      <c r="N837">
        <f ca="1"/>
        <v>0</v>
      </c>
    </row>
    <row r="838" spans="7:14" x14ac:dyDescent="0.3">
      <c r="G838">
        <v>834</v>
      </c>
      <c r="H838" s="2" cm="1">
        <f t="array" aca="1" ref="H838:I8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1591025.4232461669</v>
      </c>
      <c r="I838" s="3">
        <f ca="1"/>
        <v>7.9149898949890038E-2</v>
      </c>
      <c r="L838" s="1">
        <f ca="1"/>
        <v>0</v>
      </c>
      <c r="N838">
        <f ca="1"/>
        <v>8608371.3097382318</v>
      </c>
    </row>
    <row r="839" spans="7:14" x14ac:dyDescent="0.3">
      <c r="G839">
        <v>835</v>
      </c>
      <c r="H839" s="2" cm="1">
        <f t="array" aca="1" ref="H839:I8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6291878.5329282563</v>
      </c>
      <c r="I839" s="3">
        <f ca="1"/>
        <v>6.9673969285648479E-2</v>
      </c>
      <c r="L839" s="1">
        <f ca="1"/>
        <v>3182877.1967416066</v>
      </c>
      <c r="N839">
        <f ca="1"/>
        <v>584628.81008997886</v>
      </c>
    </row>
    <row r="840" spans="7:14" x14ac:dyDescent="0.3">
      <c r="G840">
        <v>836</v>
      </c>
      <c r="H840" s="2" cm="1">
        <f t="array" aca="1" ref="H840:I8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7861673.1334183458</v>
      </c>
      <c r="I840" s="3">
        <f ca="1"/>
        <v>7.9455336854079239E-2</v>
      </c>
      <c r="L840" s="1">
        <f ca="1"/>
        <v>18867019.334867388</v>
      </c>
      <c r="N840">
        <f ca="1"/>
        <v>3859269.4921923424</v>
      </c>
    </row>
    <row r="841" spans="7:14" x14ac:dyDescent="0.3">
      <c r="G841">
        <v>837</v>
      </c>
      <c r="H841" s="2" cm="1">
        <f t="array" aca="1" ref="H841:I8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16170001.817509163</v>
      </c>
      <c r="I841" s="3">
        <f ca="1"/>
        <v>8.671341545154844E-2</v>
      </c>
      <c r="L841" s="1">
        <f ca="1"/>
        <v>0</v>
      </c>
      <c r="N841">
        <f ca="1"/>
        <v>24294340.055901889</v>
      </c>
    </row>
    <row r="842" spans="7:14" x14ac:dyDescent="0.3">
      <c r="G842">
        <v>838</v>
      </c>
      <c r="H842" s="2" cm="1">
        <f t="array" aca="1" ref="H842:I8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11301707.981475923</v>
      </c>
      <c r="I842" s="3">
        <f ca="1"/>
        <v>7.8116963539489756E-2</v>
      </c>
      <c r="L842" s="1">
        <f ca="1"/>
        <v>0</v>
      </c>
      <c r="N842">
        <f ca="1"/>
        <v>1243564.7398266119</v>
      </c>
    </row>
    <row r="843" spans="7:14" x14ac:dyDescent="0.3">
      <c r="G843">
        <v>839</v>
      </c>
      <c r="H843" s="2" cm="1">
        <f t="array" aca="1" ref="H843:I8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8462527.9308774509</v>
      </c>
      <c r="I843" s="3">
        <f ca="1"/>
        <v>7.2640200086542331E-2</v>
      </c>
      <c r="L843" s="1">
        <f ca="1"/>
        <v>12723436.256574383</v>
      </c>
      <c r="N843">
        <f ca="1"/>
        <v>650714.73855527176</v>
      </c>
    </row>
    <row r="844" spans="7:14" x14ac:dyDescent="0.3">
      <c r="G844">
        <v>840</v>
      </c>
      <c r="H844" s="2" cm="1">
        <f t="array" aca="1" ref="H844:I8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3425356.2368910112</v>
      </c>
      <c r="I844" s="3">
        <f ca="1"/>
        <v>5.9459309778970272E-2</v>
      </c>
      <c r="L844" s="1">
        <f ca="1"/>
        <v>56955.056720662964</v>
      </c>
      <c r="N844">
        <f ca="1"/>
        <v>4887763.2176779928</v>
      </c>
    </row>
    <row r="845" spans="7:14" x14ac:dyDescent="0.3">
      <c r="G845">
        <v>841</v>
      </c>
      <c r="H845" s="2" cm="1">
        <f t="array" aca="1" ref="H845:I8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50959343.519873418</v>
      </c>
      <c r="I845" s="3">
        <f ca="1"/>
        <v>0.11113078734657569</v>
      </c>
      <c r="L845" s="1">
        <f ca="1"/>
        <v>26072350.198003165</v>
      </c>
      <c r="N845">
        <f ca="1"/>
        <v>22796768.577330209</v>
      </c>
    </row>
    <row r="846" spans="7:14" x14ac:dyDescent="0.3">
      <c r="G846">
        <v>842</v>
      </c>
      <c r="H846" s="2" cm="1">
        <f t="array" aca="1" ref="H846:I8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9707581.323330665</v>
      </c>
      <c r="I846" s="3">
        <f ca="1"/>
        <v>6.9797482157128221E-2</v>
      </c>
      <c r="L846" s="1">
        <f ca="1"/>
        <v>7590745.9482433964</v>
      </c>
      <c r="N846">
        <f ca="1"/>
        <v>384967.12635554286</v>
      </c>
    </row>
    <row r="847" spans="7:14" x14ac:dyDescent="0.3">
      <c r="G847">
        <v>843</v>
      </c>
      <c r="H847" s="2" cm="1">
        <f t="array" aca="1" ref="H847:I8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1282418.4492957168</v>
      </c>
      <c r="I847" s="3">
        <f ca="1"/>
        <v>3.6774646247509937E-2</v>
      </c>
      <c r="L847" s="1">
        <f ca="1"/>
        <v>2847068.7307747048</v>
      </c>
      <c r="N847">
        <f ca="1"/>
        <v>2920051.2257515383</v>
      </c>
    </row>
    <row r="848" spans="7:14" x14ac:dyDescent="0.3">
      <c r="G848">
        <v>844</v>
      </c>
      <c r="H848" s="2" cm="1">
        <f t="array" aca="1" ref="H848:I8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48" s="3">
        <f ca="1"/>
        <v>4.2365569868179111E-2</v>
      </c>
      <c r="L848" s="1">
        <f ca="1"/>
        <v>1028500.6620354559</v>
      </c>
      <c r="N848">
        <f ca="1"/>
        <v>1599387.4262005966</v>
      </c>
    </row>
    <row r="849" spans="7:14" x14ac:dyDescent="0.3">
      <c r="G849">
        <v>845</v>
      </c>
      <c r="H849" s="2" cm="1">
        <f t="array" aca="1" ref="H849:I8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7441807.5710209515</v>
      </c>
      <c r="I849" s="3">
        <f ca="1"/>
        <v>7.0144506587403996E-2</v>
      </c>
      <c r="L849" s="1">
        <f ca="1"/>
        <v>5346111.9465813702</v>
      </c>
      <c r="N849">
        <f ca="1"/>
        <v>14580474.998759191</v>
      </c>
    </row>
    <row r="850" spans="7:14" x14ac:dyDescent="0.3">
      <c r="G850">
        <v>846</v>
      </c>
      <c r="H850" s="2" cm="1">
        <f t="array" aca="1" ref="H850:I8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2475106.9549376317</v>
      </c>
      <c r="I850" s="3">
        <f ca="1"/>
        <v>4.5338946263494405E-2</v>
      </c>
      <c r="L850" s="1">
        <f ca="1"/>
        <v>0</v>
      </c>
      <c r="N850">
        <f ca="1"/>
        <v>13513338.058179926</v>
      </c>
    </row>
    <row r="851" spans="7:14" x14ac:dyDescent="0.3">
      <c r="G851">
        <v>847</v>
      </c>
      <c r="H851" s="2" cm="1">
        <f t="array" aca="1" ref="H851:I8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4205613.9590900559</v>
      </c>
      <c r="I851" s="3">
        <f ca="1"/>
        <v>6.390639466570272E-2</v>
      </c>
      <c r="L851" s="1">
        <f ca="1"/>
        <v>634672.93501281703</v>
      </c>
      <c r="N851">
        <f ca="1"/>
        <v>2511230.0988825513</v>
      </c>
    </row>
    <row r="852" spans="7:14" x14ac:dyDescent="0.3">
      <c r="G852">
        <v>848</v>
      </c>
      <c r="H852" s="2" cm="1">
        <f t="array" aca="1" ref="H852:I8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23266816.162057593</v>
      </c>
      <c r="I852" s="3">
        <f ca="1"/>
        <v>9.7495998003418322E-2</v>
      </c>
      <c r="L852" s="1">
        <f ca="1"/>
        <v>215050.2748281096</v>
      </c>
      <c r="N852">
        <f ca="1"/>
        <v>8044641.7747713402</v>
      </c>
    </row>
    <row r="853" spans="7:14" x14ac:dyDescent="0.3">
      <c r="G853">
        <v>849</v>
      </c>
      <c r="H853" s="2" cm="1">
        <f t="array" aca="1" ref="H853:I8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32086851.185003109</v>
      </c>
      <c r="I853" s="3">
        <f ca="1"/>
        <v>0.10037507492745117</v>
      </c>
      <c r="L853" s="1">
        <f ca="1"/>
        <v>0</v>
      </c>
      <c r="N853">
        <f ca="1"/>
        <v>1163528.8376595206</v>
      </c>
    </row>
    <row r="854" spans="7:14" x14ac:dyDescent="0.3">
      <c r="G854">
        <v>850</v>
      </c>
      <c r="H854" s="2" cm="1">
        <f t="array" aca="1" ref="H854:I8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32842326.314002689</v>
      </c>
      <c r="I854" s="3">
        <f ca="1"/>
        <v>9.9455294404309127E-2</v>
      </c>
      <c r="L854" s="1">
        <f ca="1"/>
        <v>2250700.062596729</v>
      </c>
      <c r="N854">
        <f ca="1"/>
        <v>3086000.3626303519</v>
      </c>
    </row>
    <row r="855" spans="7:14" x14ac:dyDescent="0.3">
      <c r="G855">
        <v>851</v>
      </c>
      <c r="H855" s="2" cm="1">
        <f t="array" aca="1" ref="H855:I8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8051077.1955793379</v>
      </c>
      <c r="I855" s="3">
        <f ca="1"/>
        <v>7.6368022169410271E-2</v>
      </c>
      <c r="L855" s="1">
        <f ca="1"/>
        <v>1894780.4223591753</v>
      </c>
      <c r="N855">
        <f ca="1"/>
        <v>6050236.7883788338</v>
      </c>
    </row>
    <row r="856" spans="7:14" x14ac:dyDescent="0.3">
      <c r="G856">
        <v>852</v>
      </c>
      <c r="H856" s="2" cm="1">
        <f t="array" aca="1" ref="H856:I8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9806909.2216231115</v>
      </c>
      <c r="I856" s="3">
        <f ca="1"/>
        <v>7.8775933416364449E-2</v>
      </c>
      <c r="L856" s="1">
        <f ca="1"/>
        <v>13275331.802824026</v>
      </c>
      <c r="N856">
        <f ca="1"/>
        <v>1081760.6375917941</v>
      </c>
    </row>
    <row r="857" spans="7:14" x14ac:dyDescent="0.3">
      <c r="G857">
        <v>853</v>
      </c>
      <c r="H857" s="2" cm="1">
        <f t="array" aca="1" ref="H857:I8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57" s="3">
        <f ca="1"/>
        <v>3.0638376556145624E-2</v>
      </c>
      <c r="L857" s="1">
        <f ca="1"/>
        <v>8774104.8708261866</v>
      </c>
      <c r="N857">
        <f ca="1"/>
        <v>4251432.990799983</v>
      </c>
    </row>
    <row r="858" spans="7:14" x14ac:dyDescent="0.3">
      <c r="G858">
        <v>854</v>
      </c>
      <c r="H858" s="2" cm="1">
        <f t="array" aca="1" ref="H858:I8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5617507.4260863606</v>
      </c>
      <c r="I858" s="3">
        <f ca="1"/>
        <v>7.041546042258634E-2</v>
      </c>
      <c r="L858" s="1">
        <f ca="1"/>
        <v>21992120.202631358</v>
      </c>
      <c r="N858">
        <f ca="1"/>
        <v>26105840.920441788</v>
      </c>
    </row>
    <row r="859" spans="7:14" x14ac:dyDescent="0.3">
      <c r="G859">
        <v>855</v>
      </c>
      <c r="H859" s="2" cm="1">
        <f t="array" aca="1" ref="H859:I8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2563422.2333438802</v>
      </c>
      <c r="I859" s="3">
        <f ca="1"/>
        <v>4.8592237523985581E-2</v>
      </c>
      <c r="L859" s="1">
        <f ca="1"/>
        <v>5298432.8242995888</v>
      </c>
      <c r="N859">
        <f ca="1"/>
        <v>4016567.5802085791</v>
      </c>
    </row>
    <row r="860" spans="7:14" x14ac:dyDescent="0.3">
      <c r="G860">
        <v>856</v>
      </c>
      <c r="H860" s="2" cm="1">
        <f t="array" aca="1" ref="H860:I8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12651526.157808347</v>
      </c>
      <c r="I860" s="3">
        <f ca="1"/>
        <v>7.9816732981152716E-2</v>
      </c>
      <c r="L860" s="1">
        <f ca="1"/>
        <v>3825305.3800877342</v>
      </c>
      <c r="N860">
        <f ca="1"/>
        <v>16838494.220305361</v>
      </c>
    </row>
    <row r="861" spans="7:14" x14ac:dyDescent="0.3">
      <c r="G861">
        <v>857</v>
      </c>
      <c r="H861" s="2" cm="1">
        <f t="array" aca="1" ref="H861:I8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1594495.791080778</v>
      </c>
      <c r="I861" s="3">
        <f ca="1"/>
        <v>5.3097117496993376E-2</v>
      </c>
      <c r="L861" s="1">
        <f ca="1"/>
        <v>2437129.3489742423</v>
      </c>
      <c r="N861">
        <f ca="1"/>
        <v>8049853.8684987929</v>
      </c>
    </row>
    <row r="862" spans="7:14" x14ac:dyDescent="0.3">
      <c r="G862">
        <v>858</v>
      </c>
      <c r="H862" s="2" cm="1">
        <f t="array" aca="1" ref="H862:I8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62" s="3">
        <f ca="1"/>
        <v>3.9765385954434199E-2</v>
      </c>
      <c r="L862" s="1">
        <f ca="1"/>
        <v>23755121.762038119</v>
      </c>
      <c r="N862">
        <f ca="1"/>
        <v>0</v>
      </c>
    </row>
    <row r="863" spans="7:14" x14ac:dyDescent="0.3">
      <c r="G863">
        <v>859</v>
      </c>
      <c r="H863" s="2" cm="1">
        <f t="array" aca="1" ref="H863:I8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63" s="3">
        <f ca="1"/>
        <v>3.6022799409541235E-2</v>
      </c>
      <c r="L863" s="1">
        <f ca="1"/>
        <v>16759863.126327578</v>
      </c>
      <c r="N863">
        <f ca="1"/>
        <v>1897511.5669097907</v>
      </c>
    </row>
    <row r="864" spans="7:14" x14ac:dyDescent="0.3">
      <c r="G864">
        <v>860</v>
      </c>
      <c r="H864" s="2" cm="1">
        <f t="array" aca="1" ref="H864:I8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52760162.061064705</v>
      </c>
      <c r="I864" s="3">
        <f ca="1"/>
        <v>0.11322822983749885</v>
      </c>
      <c r="L864" s="1">
        <f ca="1"/>
        <v>75832.865552522868</v>
      </c>
      <c r="N864">
        <f ca="1"/>
        <v>16550104.18429267</v>
      </c>
    </row>
    <row r="865" spans="7:14" x14ac:dyDescent="0.3">
      <c r="G865">
        <v>861</v>
      </c>
      <c r="H865" s="2" cm="1">
        <f t="array" aca="1" ref="H865:I8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23627315.814310659</v>
      </c>
      <c r="I865" s="3">
        <f ca="1"/>
        <v>9.3421279514931108E-2</v>
      </c>
      <c r="L865" s="1">
        <f ca="1"/>
        <v>1291021.0089102176</v>
      </c>
      <c r="N865">
        <f ca="1"/>
        <v>2925120.3052271083</v>
      </c>
    </row>
    <row r="866" spans="7:14" x14ac:dyDescent="0.3">
      <c r="G866">
        <v>862</v>
      </c>
      <c r="H866" s="2" cm="1">
        <f t="array" aca="1" ref="H866:I8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5360898.8975224849</v>
      </c>
      <c r="I866" s="3">
        <f ca="1"/>
        <v>8.392803543183748E-2</v>
      </c>
      <c r="L866" s="1">
        <f ca="1"/>
        <v>8253788.761098179</v>
      </c>
      <c r="N866">
        <f ca="1"/>
        <v>0</v>
      </c>
    </row>
    <row r="867" spans="7:14" x14ac:dyDescent="0.3">
      <c r="G867">
        <v>863</v>
      </c>
      <c r="H867" s="2" cm="1">
        <f t="array" aca="1" ref="H867:I8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2470917.0958541404</v>
      </c>
      <c r="I867" s="3">
        <f ca="1"/>
        <v>5.1697914447501249E-2</v>
      </c>
      <c r="L867" s="1">
        <f ca="1"/>
        <v>0</v>
      </c>
      <c r="N867">
        <f ca="1"/>
        <v>12477581.573181076</v>
      </c>
    </row>
    <row r="868" spans="7:14" x14ac:dyDescent="0.3">
      <c r="G868">
        <v>864</v>
      </c>
      <c r="H868" s="2" cm="1">
        <f t="array" aca="1" ref="H868:I8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68" s="3">
        <f ca="1"/>
        <v>3.1514704490230784E-2</v>
      </c>
      <c r="L868" s="1">
        <f ca="1"/>
        <v>7145045.4237887757</v>
      </c>
      <c r="N868">
        <f ca="1"/>
        <v>7823996.883097413</v>
      </c>
    </row>
    <row r="869" spans="7:14" x14ac:dyDescent="0.3">
      <c r="G869">
        <v>865</v>
      </c>
      <c r="H869" s="2" cm="1">
        <f t="array" aca="1" ref="H869:I8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1615190.6790431824</v>
      </c>
      <c r="I869" s="3">
        <f ca="1"/>
        <v>4.7211744066121088E-2</v>
      </c>
      <c r="L869" s="1">
        <f ca="1"/>
        <v>3594656.6209951257</v>
      </c>
      <c r="N869">
        <f ca="1"/>
        <v>2232314.1758909659</v>
      </c>
    </row>
    <row r="870" spans="7:14" x14ac:dyDescent="0.3">
      <c r="G870">
        <v>866</v>
      </c>
      <c r="H870" s="2" cm="1">
        <f t="array" aca="1" ref="H870:I8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70" s="3">
        <f ca="1"/>
        <v>2.7533905623873693E-2</v>
      </c>
      <c r="L870" s="1">
        <f ca="1"/>
        <v>2381404.5710234796</v>
      </c>
      <c r="N870">
        <f ca="1"/>
        <v>2049261.9570575883</v>
      </c>
    </row>
    <row r="871" spans="7:14" x14ac:dyDescent="0.3">
      <c r="G871">
        <v>867</v>
      </c>
      <c r="H871" s="2" cm="1">
        <f t="array" aca="1" ref="H871:I8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4962641.843951053</v>
      </c>
      <c r="I871" s="3">
        <f ca="1"/>
        <v>7.288319549307494E-2</v>
      </c>
      <c r="L871" s="1">
        <f ca="1"/>
        <v>8243144.0373153985</v>
      </c>
      <c r="N871">
        <f ca="1"/>
        <v>1772870.9689469475</v>
      </c>
    </row>
    <row r="872" spans="7:14" x14ac:dyDescent="0.3">
      <c r="G872">
        <v>868</v>
      </c>
      <c r="H872" s="2" cm="1">
        <f t="array" aca="1" ref="H872:I8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72" s="3">
        <f ca="1"/>
        <v>3.1337150731737658E-2</v>
      </c>
      <c r="L872" s="1">
        <f ca="1"/>
        <v>6002834.2940793503</v>
      </c>
      <c r="N872">
        <f ca="1"/>
        <v>0</v>
      </c>
    </row>
    <row r="873" spans="7:14" x14ac:dyDescent="0.3">
      <c r="G873">
        <v>869</v>
      </c>
      <c r="H873" s="2" cm="1">
        <f t="array" aca="1" ref="H873:I8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6088829.5699911043</v>
      </c>
      <c r="I873" s="3">
        <f ca="1"/>
        <v>6.6828553803812515E-2</v>
      </c>
      <c r="L873" s="1">
        <f ca="1"/>
        <v>1288586.1947085334</v>
      </c>
      <c r="N873">
        <f ca="1"/>
        <v>16499831.603263611</v>
      </c>
    </row>
    <row r="874" spans="7:14" x14ac:dyDescent="0.3">
      <c r="G874">
        <v>870</v>
      </c>
      <c r="H874" s="2" cm="1">
        <f t="array" aca="1" ref="H874:I8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13109375.538825542</v>
      </c>
      <c r="I874" s="3">
        <f ca="1"/>
        <v>8.0043477942793401E-2</v>
      </c>
      <c r="L874" s="1">
        <f ca="1"/>
        <v>3729598.4218281885</v>
      </c>
      <c r="N874">
        <f ca="1"/>
        <v>131504.60338828026</v>
      </c>
    </row>
    <row r="875" spans="7:14" x14ac:dyDescent="0.3">
      <c r="G875">
        <v>871</v>
      </c>
      <c r="H875" s="2" cm="1">
        <f t="array" aca="1" ref="H875:I8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305026.82424668339</v>
      </c>
      <c r="I875" s="3">
        <f ca="1"/>
        <v>5.9397523336677513E-2</v>
      </c>
      <c r="L875" s="1">
        <f ca="1"/>
        <v>0</v>
      </c>
      <c r="N875">
        <f ca="1"/>
        <v>30504219.413054354</v>
      </c>
    </row>
    <row r="876" spans="7:14" x14ac:dyDescent="0.3">
      <c r="G876">
        <v>872</v>
      </c>
      <c r="H876" s="2" cm="1">
        <f t="array" aca="1" ref="H876:I8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8152030.0940587372</v>
      </c>
      <c r="I876" s="3">
        <f ca="1"/>
        <v>7.233405658413064E-2</v>
      </c>
      <c r="L876" s="1">
        <f ca="1"/>
        <v>4622625.1420187093</v>
      </c>
      <c r="N876">
        <f ca="1"/>
        <v>5278496.2553350721</v>
      </c>
    </row>
    <row r="877" spans="7:14" x14ac:dyDescent="0.3">
      <c r="G877">
        <v>873</v>
      </c>
      <c r="H877" s="2" cm="1">
        <f t="array" aca="1" ref="H877:I8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372117.31080876302</v>
      </c>
      <c r="I877" s="3">
        <f ca="1"/>
        <v>2.5623246650516841E-2</v>
      </c>
      <c r="L877" s="1">
        <f ca="1"/>
        <v>8175640.4952512449</v>
      </c>
      <c r="N877">
        <f ca="1"/>
        <v>3881324.4875582787</v>
      </c>
    </row>
    <row r="878" spans="7:14" x14ac:dyDescent="0.3">
      <c r="G878">
        <v>874</v>
      </c>
      <c r="H878" s="2" cm="1">
        <f t="array" aca="1" ref="H878:I8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6002132.9838852165</v>
      </c>
      <c r="I878" s="3">
        <f ca="1"/>
        <v>7.5907090609932823E-2</v>
      </c>
      <c r="L878" s="1">
        <f ca="1"/>
        <v>6982343.9269989254</v>
      </c>
      <c r="N878">
        <f ca="1"/>
        <v>1057379.8732253434</v>
      </c>
    </row>
    <row r="879" spans="7:14" x14ac:dyDescent="0.3">
      <c r="G879">
        <v>875</v>
      </c>
      <c r="H879" s="2" cm="1">
        <f t="array" aca="1" ref="H879:I8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3990127.0803375272</v>
      </c>
      <c r="I879" s="3">
        <f ca="1"/>
        <v>7.4022582609564583E-2</v>
      </c>
      <c r="L879" s="1">
        <f ca="1"/>
        <v>2766753.0657335119</v>
      </c>
      <c r="N879">
        <f ca="1"/>
        <v>0</v>
      </c>
    </row>
    <row r="880" spans="7:14" x14ac:dyDescent="0.3">
      <c r="G880">
        <v>876</v>
      </c>
      <c r="H880" s="2" cm="1">
        <f t="array" aca="1" ref="H880:I8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1679350.6818442864</v>
      </c>
      <c r="I880" s="3">
        <f ca="1"/>
        <v>5.3141057973371875E-2</v>
      </c>
      <c r="L880" s="1">
        <f ca="1"/>
        <v>4598702.6266931454</v>
      </c>
      <c r="N880">
        <f ca="1"/>
        <v>923577.77797475376</v>
      </c>
    </row>
    <row r="881" spans="7:14" x14ac:dyDescent="0.3">
      <c r="G881">
        <v>877</v>
      </c>
      <c r="H881" s="2" cm="1">
        <f t="array" aca="1" ref="H881:I8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8192297.5907249562</v>
      </c>
      <c r="I881" s="3">
        <f ca="1"/>
        <v>7.2999152871621092E-2</v>
      </c>
      <c r="L881" s="1">
        <f ca="1"/>
        <v>25522596.274239387</v>
      </c>
      <c r="N881">
        <f ca="1"/>
        <v>8852802.4929513019</v>
      </c>
    </row>
    <row r="882" spans="7:14" x14ac:dyDescent="0.3">
      <c r="G882">
        <v>878</v>
      </c>
      <c r="H882" s="2" cm="1">
        <f t="array" aca="1" ref="H882:I8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946799.6125537788</v>
      </c>
      <c r="I882" s="3">
        <f ca="1"/>
        <v>4.3679204348901997E-2</v>
      </c>
      <c r="L882" s="1">
        <f ca="1"/>
        <v>127434.12056059057</v>
      </c>
      <c r="N882">
        <f ca="1"/>
        <v>0</v>
      </c>
    </row>
    <row r="883" spans="7:14" x14ac:dyDescent="0.3">
      <c r="G883">
        <v>879</v>
      </c>
      <c r="H883" s="2" cm="1">
        <f t="array" aca="1" ref="H883:I8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83" s="3">
        <f ca="1"/>
        <v>6.3650869604906485E-2</v>
      </c>
      <c r="L883" s="1">
        <f ca="1"/>
        <v>5464842.2433233485</v>
      </c>
      <c r="N883">
        <f ca="1"/>
        <v>26685550.109776646</v>
      </c>
    </row>
    <row r="884" spans="7:14" x14ac:dyDescent="0.3">
      <c r="G884">
        <v>880</v>
      </c>
      <c r="H884" s="2" cm="1">
        <f t="array" aca="1" ref="H884:I8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6381961.5387695022</v>
      </c>
      <c r="I884" s="3">
        <f ca="1"/>
        <v>6.7516941669071975E-2</v>
      </c>
      <c r="L884" s="1">
        <f ca="1"/>
        <v>3066439.3336676615</v>
      </c>
      <c r="N884">
        <f ca="1"/>
        <v>0</v>
      </c>
    </row>
    <row r="885" spans="7:14" x14ac:dyDescent="0.3">
      <c r="G885">
        <v>881</v>
      </c>
      <c r="H885" s="2" cm="1">
        <f t="array" aca="1" ref="H885:I8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85" s="3">
        <f ca="1"/>
        <v>4.118826961697257E-2</v>
      </c>
      <c r="L885" s="1">
        <f ca="1"/>
        <v>0</v>
      </c>
      <c r="N885">
        <f ca="1"/>
        <v>9329992.3790186364</v>
      </c>
    </row>
    <row r="886" spans="7:14" x14ac:dyDescent="0.3">
      <c r="G886">
        <v>882</v>
      </c>
      <c r="H886" s="2" cm="1">
        <f t="array" aca="1" ref="H886:I8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3087732.605403149</v>
      </c>
      <c r="I886" s="3">
        <f ca="1"/>
        <v>5.2527544245003444E-2</v>
      </c>
      <c r="L886" s="1">
        <f ca="1"/>
        <v>0</v>
      </c>
      <c r="N886">
        <f ca="1"/>
        <v>18553651.14591701</v>
      </c>
    </row>
    <row r="887" spans="7:14" x14ac:dyDescent="0.3">
      <c r="G887">
        <v>883</v>
      </c>
      <c r="H887" s="2" cm="1">
        <f t="array" aca="1" ref="H887:I8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6003731.1661148611</v>
      </c>
      <c r="I887" s="3">
        <f ca="1"/>
        <v>6.2543326277881964E-2</v>
      </c>
      <c r="L887" s="1">
        <f ca="1"/>
        <v>16626458.816842746</v>
      </c>
      <c r="N887">
        <f ca="1"/>
        <v>37883863.264632009</v>
      </c>
    </row>
    <row r="888" spans="7:14" x14ac:dyDescent="0.3">
      <c r="G888">
        <v>884</v>
      </c>
      <c r="H888" s="2" cm="1">
        <f t="array" aca="1" ref="H888:I8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563201.08319688367</v>
      </c>
      <c r="I888" s="3">
        <f ca="1"/>
        <v>4.0148727220834332E-2</v>
      </c>
      <c r="L888" s="1">
        <f ca="1"/>
        <v>6701622.383094524</v>
      </c>
      <c r="N888">
        <f ca="1"/>
        <v>31732836.11586114</v>
      </c>
    </row>
    <row r="889" spans="7:14" x14ac:dyDescent="0.3">
      <c r="G889">
        <v>885</v>
      </c>
      <c r="H889" s="2" cm="1">
        <f t="array" aca="1" ref="H889:I8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6692776.9841051223</v>
      </c>
      <c r="I889" s="3">
        <f ca="1"/>
        <v>6.9206473364856261E-2</v>
      </c>
      <c r="L889" s="1">
        <f ca="1"/>
        <v>5009248.7070040107</v>
      </c>
      <c r="N889">
        <f ca="1"/>
        <v>0</v>
      </c>
    </row>
    <row r="890" spans="7:14" x14ac:dyDescent="0.3">
      <c r="G890">
        <v>886</v>
      </c>
      <c r="H890" s="2" cm="1">
        <f t="array" aca="1" ref="H890:I8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47909037.052862003</v>
      </c>
      <c r="I890" s="3">
        <f ca="1"/>
        <v>0.11230185826778619</v>
      </c>
      <c r="L890" s="1">
        <f ca="1"/>
        <v>8599451.6844152957</v>
      </c>
      <c r="N890">
        <f ca="1"/>
        <v>8908032.3593932446</v>
      </c>
    </row>
    <row r="891" spans="7:14" x14ac:dyDescent="0.3">
      <c r="G891">
        <v>887</v>
      </c>
      <c r="H891" s="2" cm="1">
        <f t="array" aca="1" ref="H891:I8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19003823.899544295</v>
      </c>
      <c r="I891" s="3">
        <f ca="1"/>
        <v>9.2757529698618557E-2</v>
      </c>
      <c r="L891" s="1">
        <f ca="1"/>
        <v>6783500.12081003</v>
      </c>
      <c r="N891">
        <f ca="1"/>
        <v>15317712.542947534</v>
      </c>
    </row>
    <row r="892" spans="7:14" x14ac:dyDescent="0.3">
      <c r="G892">
        <v>888</v>
      </c>
      <c r="H892" s="2" cm="1">
        <f t="array" aca="1" ref="H892:I8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725907.61400928942</v>
      </c>
      <c r="I892" s="3">
        <f ca="1"/>
        <v>4.5823629030986558E-2</v>
      </c>
      <c r="L892" s="1">
        <f ca="1"/>
        <v>4006475.3908022139</v>
      </c>
      <c r="N892">
        <f ca="1"/>
        <v>5816806.308437245</v>
      </c>
    </row>
    <row r="893" spans="7:14" x14ac:dyDescent="0.3">
      <c r="G893">
        <v>889</v>
      </c>
      <c r="H893" s="2" cm="1">
        <f t="array" aca="1" ref="H893:I8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93" s="3">
        <f ca="1"/>
        <v>3.6821667291914426E-2</v>
      </c>
      <c r="L893" s="1">
        <f ca="1"/>
        <v>4314596.0121257911</v>
      </c>
      <c r="N893">
        <f ca="1"/>
        <v>12993852.656994075</v>
      </c>
    </row>
    <row r="894" spans="7:14" x14ac:dyDescent="0.3">
      <c r="G894">
        <v>890</v>
      </c>
      <c r="H894" s="2" cm="1">
        <f t="array" aca="1" ref="H894:I8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28686100.389973976</v>
      </c>
      <c r="I894" s="3">
        <f ca="1"/>
        <v>0.10115912277573377</v>
      </c>
      <c r="L894" s="1">
        <f ca="1"/>
        <v>460621.51892920671</v>
      </c>
      <c r="N894">
        <f ca="1"/>
        <v>3737428.9288349394</v>
      </c>
    </row>
    <row r="895" spans="7:14" x14ac:dyDescent="0.3">
      <c r="G895">
        <v>891</v>
      </c>
      <c r="H895" s="2" cm="1">
        <f t="array" aca="1" ref="H895:I8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95" s="3">
        <f ca="1"/>
        <v>4.9994065512299735E-2</v>
      </c>
      <c r="L895" s="1">
        <f ca="1"/>
        <v>2547890.2400409966</v>
      </c>
      <c r="N895">
        <f ca="1"/>
        <v>2055846.7626703647</v>
      </c>
    </row>
    <row r="896" spans="7:14" x14ac:dyDescent="0.3">
      <c r="G896">
        <v>892</v>
      </c>
      <c r="H896" s="2" cm="1">
        <f t="array" aca="1" ref="H896:I8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2262145.7335093496</v>
      </c>
      <c r="I896" s="3">
        <f ca="1"/>
        <v>6.0539007033363311E-2</v>
      </c>
      <c r="L896" s="1">
        <f ca="1"/>
        <v>0</v>
      </c>
      <c r="N896">
        <f ca="1"/>
        <v>7434786.6341120321</v>
      </c>
    </row>
    <row r="897" spans="7:14" x14ac:dyDescent="0.3">
      <c r="G897">
        <v>893</v>
      </c>
      <c r="H897" s="2" cm="1">
        <f t="array" aca="1" ref="H897:I8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97" s="3">
        <f ca="1"/>
        <v>4.1267628716994909E-2</v>
      </c>
      <c r="L897" s="1">
        <f ca="1"/>
        <v>326348.66853205569</v>
      </c>
      <c r="N897">
        <f ca="1"/>
        <v>86763.489834663415</v>
      </c>
    </row>
    <row r="898" spans="7:14" x14ac:dyDescent="0.3">
      <c r="G898">
        <v>894</v>
      </c>
      <c r="H898" s="2" cm="1">
        <f t="array" aca="1" ref="H898:I8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898" s="3">
        <f ca="1"/>
        <v>3.3478957860555603E-2</v>
      </c>
      <c r="L898" s="1">
        <f ca="1"/>
        <v>1006148.3682224138</v>
      </c>
      <c r="N898">
        <f ca="1"/>
        <v>0</v>
      </c>
    </row>
    <row r="899" spans="7:14" x14ac:dyDescent="0.3">
      <c r="G899">
        <v>895</v>
      </c>
      <c r="H899" s="2" cm="1">
        <f t="array" aca="1" ref="H899:I8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3412504.1981030689</v>
      </c>
      <c r="I899" s="3">
        <f ca="1"/>
        <v>6.2297671746126507E-2</v>
      </c>
      <c r="L899" s="1">
        <f ca="1"/>
        <v>0</v>
      </c>
      <c r="N899">
        <f ca="1"/>
        <v>5664833.7609397136</v>
      </c>
    </row>
    <row r="900" spans="7:14" x14ac:dyDescent="0.3">
      <c r="G900">
        <v>896</v>
      </c>
      <c r="H900" s="2" cm="1">
        <f t="array" aca="1" ref="H900:I9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00" s="3">
        <f ca="1"/>
        <v>4.1517499850405024E-2</v>
      </c>
      <c r="L900" s="1">
        <f ca="1"/>
        <v>10661767.742068596</v>
      </c>
      <c r="N900">
        <f ca="1"/>
        <v>7856410.7944725929</v>
      </c>
    </row>
    <row r="901" spans="7:14" x14ac:dyDescent="0.3">
      <c r="G901">
        <v>897</v>
      </c>
      <c r="H901" s="2" cm="1">
        <f t="array" aca="1" ref="H901:I9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1901613.6976149539</v>
      </c>
      <c r="I901" s="3">
        <f ca="1"/>
        <v>4.3985475627830797E-2</v>
      </c>
      <c r="L901" s="1">
        <f ca="1"/>
        <v>355381.09838568309</v>
      </c>
      <c r="N901">
        <f ca="1"/>
        <v>4745560.2110437183</v>
      </c>
    </row>
    <row r="902" spans="7:14" x14ac:dyDescent="0.3">
      <c r="G902">
        <v>898</v>
      </c>
      <c r="H902" s="2" cm="1">
        <f t="array" aca="1" ref="H902:I9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1366694.7982994399</v>
      </c>
      <c r="I902" s="3">
        <f ca="1"/>
        <v>4.7642508529644766E-2</v>
      </c>
      <c r="L902" s="1">
        <f ca="1"/>
        <v>8036455.4519825447</v>
      </c>
      <c r="N902">
        <f ca="1"/>
        <v>5737416.1831613323</v>
      </c>
    </row>
    <row r="903" spans="7:14" x14ac:dyDescent="0.3">
      <c r="G903">
        <v>899</v>
      </c>
      <c r="H903" s="2" cm="1">
        <f t="array" aca="1" ref="H903:I9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03" s="3">
        <f ca="1"/>
        <v>3.9090222987359868E-2</v>
      </c>
      <c r="L903" s="1">
        <f ca="1"/>
        <v>313246.28614439623</v>
      </c>
      <c r="N903">
        <f ca="1"/>
        <v>17770516.825862668</v>
      </c>
    </row>
    <row r="904" spans="7:14" x14ac:dyDescent="0.3">
      <c r="G904">
        <v>900</v>
      </c>
      <c r="H904" s="2" cm="1">
        <f t="array" aca="1" ref="H904:I9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25562.954497608502</v>
      </c>
      <c r="I904" s="3">
        <f ca="1"/>
        <v>3.2133281177685581E-2</v>
      </c>
      <c r="L904" s="1">
        <f ca="1"/>
        <v>4371212.3739794083</v>
      </c>
      <c r="N904">
        <f ca="1"/>
        <v>0</v>
      </c>
    </row>
    <row r="905" spans="7:14" x14ac:dyDescent="0.3">
      <c r="G905">
        <v>901</v>
      </c>
      <c r="H905" s="2" cm="1">
        <f t="array" aca="1" ref="H905:I90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05" s="3">
        <f ca="1"/>
        <v>2.2220869096888706E-2</v>
      </c>
      <c r="L905" s="1">
        <f ca="1"/>
        <v>43576521.846512273</v>
      </c>
      <c r="N905">
        <f ca="1"/>
        <v>4925039.6822313704</v>
      </c>
    </row>
    <row r="906" spans="7:14" x14ac:dyDescent="0.3">
      <c r="G906">
        <v>902</v>
      </c>
      <c r="H906" s="2" cm="1">
        <f t="array" aca="1" ref="H906:I90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18153501.707190588</v>
      </c>
      <c r="I906" s="3">
        <f ca="1"/>
        <v>9.2221231338030396E-2</v>
      </c>
      <c r="L906" s="1">
        <f ca="1"/>
        <v>800362.94546040148</v>
      </c>
      <c r="N906">
        <f ca="1"/>
        <v>5682124.1299815839</v>
      </c>
    </row>
    <row r="907" spans="7:14" x14ac:dyDescent="0.3">
      <c r="G907">
        <v>903</v>
      </c>
      <c r="H907" s="2" cm="1">
        <f t="array" aca="1" ref="H907:I90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1454821.8177750029</v>
      </c>
      <c r="I907" s="3">
        <f ca="1"/>
        <v>6.2201714504018325E-2</v>
      </c>
      <c r="L907" s="1">
        <f ca="1"/>
        <v>0</v>
      </c>
      <c r="N907">
        <f ca="1"/>
        <v>132973.86873855733</v>
      </c>
    </row>
    <row r="908" spans="7:14" x14ac:dyDescent="0.3">
      <c r="G908">
        <v>904</v>
      </c>
      <c r="H908" s="2" cm="1">
        <f t="array" aca="1" ref="H908:I90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233043.4435587652</v>
      </c>
      <c r="I908" s="3">
        <f ca="1"/>
        <v>4.4473067147241183E-2</v>
      </c>
      <c r="L908" s="1">
        <f ca="1"/>
        <v>20455030.898156039</v>
      </c>
      <c r="N908">
        <f ca="1"/>
        <v>1358357.2638127343</v>
      </c>
    </row>
    <row r="909" spans="7:14" x14ac:dyDescent="0.3">
      <c r="G909">
        <v>905</v>
      </c>
      <c r="H909" s="2" cm="1">
        <f t="array" aca="1" ref="H909:I90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1885686.7454724964</v>
      </c>
      <c r="I909" s="3">
        <f ca="1"/>
        <v>4.971429312728208E-2</v>
      </c>
      <c r="L909" s="1">
        <f ca="1"/>
        <v>2453543.3827181724</v>
      </c>
      <c r="N909">
        <f ca="1"/>
        <v>0</v>
      </c>
    </row>
    <row r="910" spans="7:14" x14ac:dyDescent="0.3">
      <c r="G910">
        <v>906</v>
      </c>
      <c r="H910" s="2" cm="1">
        <f t="array" aca="1" ref="H910:I91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18499398.813589673</v>
      </c>
      <c r="I910" s="3">
        <f ca="1"/>
        <v>8.6876944743177614E-2</v>
      </c>
      <c r="L910" s="1">
        <f ca="1"/>
        <v>436351.17042997835</v>
      </c>
      <c r="N910">
        <f ca="1"/>
        <v>3506860.2864707839</v>
      </c>
    </row>
    <row r="911" spans="7:14" x14ac:dyDescent="0.3">
      <c r="G911">
        <v>907</v>
      </c>
      <c r="H911" s="2" cm="1">
        <f t="array" aca="1" ref="H911:I91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3341598.5278085037</v>
      </c>
      <c r="I911" s="3">
        <f ca="1"/>
        <v>7.1325158229254421E-2</v>
      </c>
      <c r="L911" s="1">
        <f ca="1"/>
        <v>0</v>
      </c>
      <c r="N911">
        <f ca="1"/>
        <v>2459669.2960382686</v>
      </c>
    </row>
    <row r="912" spans="7:14" x14ac:dyDescent="0.3">
      <c r="G912">
        <v>908</v>
      </c>
      <c r="H912" s="2" cm="1">
        <f t="array" aca="1" ref="H912:I91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12" s="3">
        <f ca="1"/>
        <v>2.9627927726208637E-2</v>
      </c>
      <c r="L912" s="1">
        <f ca="1"/>
        <v>3413500.3978143353</v>
      </c>
      <c r="N912">
        <f ca="1"/>
        <v>86033.011210429322</v>
      </c>
    </row>
    <row r="913" spans="7:14" x14ac:dyDescent="0.3">
      <c r="G913">
        <v>909</v>
      </c>
      <c r="H913" s="2" cm="1">
        <f t="array" aca="1" ref="H913:I91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1989132.0746490299</v>
      </c>
      <c r="I913" s="3">
        <f ca="1"/>
        <v>4.3622192494596861E-2</v>
      </c>
      <c r="L913" s="1">
        <f ca="1"/>
        <v>12104565.059931472</v>
      </c>
      <c r="N913">
        <f ca="1"/>
        <v>1677732.376103014</v>
      </c>
    </row>
    <row r="914" spans="7:14" x14ac:dyDescent="0.3">
      <c r="G914">
        <v>910</v>
      </c>
      <c r="H914" s="2" cm="1">
        <f t="array" aca="1" ref="H914:I91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6484782.1389534613</v>
      </c>
      <c r="I914" s="3">
        <f ca="1"/>
        <v>7.5875694033050417E-2</v>
      </c>
      <c r="L914" s="1">
        <f ca="1"/>
        <v>4147153.7376514366</v>
      </c>
      <c r="N914">
        <f ca="1"/>
        <v>2834156.217050306</v>
      </c>
    </row>
    <row r="915" spans="7:14" x14ac:dyDescent="0.3">
      <c r="G915">
        <v>911</v>
      </c>
      <c r="H915" s="2" cm="1">
        <f t="array" aca="1" ref="H915:I91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22194456.631524384</v>
      </c>
      <c r="I915" s="3">
        <f ca="1"/>
        <v>9.2960378076573952E-2</v>
      </c>
      <c r="L915" s="1">
        <f ca="1"/>
        <v>200719.51128793211</v>
      </c>
      <c r="N915">
        <f ca="1"/>
        <v>3547615.5866163857</v>
      </c>
    </row>
    <row r="916" spans="7:14" x14ac:dyDescent="0.3">
      <c r="G916">
        <v>912</v>
      </c>
      <c r="H916" s="2" cm="1">
        <f t="array" aca="1" ref="H916:I91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16" s="3">
        <f ca="1"/>
        <v>3.3482007753919477E-2</v>
      </c>
      <c r="L916" s="1">
        <f ca="1"/>
        <v>11188943.351843517</v>
      </c>
      <c r="N916">
        <f ca="1"/>
        <v>781742.24914006738</v>
      </c>
    </row>
    <row r="917" spans="7:14" x14ac:dyDescent="0.3">
      <c r="G917">
        <v>913</v>
      </c>
      <c r="H917" s="2" cm="1">
        <f t="array" aca="1" ref="H917:I91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3829475.3047416648</v>
      </c>
      <c r="I917" s="3">
        <f ca="1"/>
        <v>6.389111958688462E-2</v>
      </c>
      <c r="L917" s="1">
        <f ca="1"/>
        <v>951526.42573294998</v>
      </c>
      <c r="N917">
        <f ca="1"/>
        <v>3334737.68037563</v>
      </c>
    </row>
    <row r="918" spans="7:14" x14ac:dyDescent="0.3">
      <c r="G918">
        <v>914</v>
      </c>
      <c r="H918" s="2" cm="1">
        <f t="array" aca="1" ref="H918:I91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4427962.8332289653</v>
      </c>
      <c r="I918" s="3">
        <f ca="1"/>
        <v>7.7567933889048507E-2</v>
      </c>
      <c r="L918" s="1">
        <f ca="1"/>
        <v>0</v>
      </c>
      <c r="N918">
        <f ca="1"/>
        <v>4719829.5155349001</v>
      </c>
    </row>
    <row r="919" spans="7:14" x14ac:dyDescent="0.3">
      <c r="G919">
        <v>915</v>
      </c>
      <c r="H919" s="2" cm="1">
        <f t="array" aca="1" ref="H919:I91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4318199.623254437</v>
      </c>
      <c r="I919" s="3">
        <f ca="1"/>
        <v>5.6739178954734182E-2</v>
      </c>
      <c r="L919" s="1">
        <f ca="1"/>
        <v>7503375.8417090131</v>
      </c>
      <c r="N919">
        <f ca="1"/>
        <v>4427227.3687258502</v>
      </c>
    </row>
    <row r="920" spans="7:14" x14ac:dyDescent="0.3">
      <c r="G920">
        <v>916</v>
      </c>
      <c r="H920" s="2" cm="1">
        <f t="array" aca="1" ref="H920:I92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14428094.058227098</v>
      </c>
      <c r="I920" s="3">
        <f ca="1"/>
        <v>9.2378051672627276E-2</v>
      </c>
      <c r="L920" s="1">
        <f ca="1"/>
        <v>24680362.285538677</v>
      </c>
      <c r="N920">
        <f ca="1"/>
        <v>606637.74207545654</v>
      </c>
    </row>
    <row r="921" spans="7:14" x14ac:dyDescent="0.3">
      <c r="G921">
        <v>917</v>
      </c>
      <c r="H921" s="2" cm="1">
        <f t="array" aca="1" ref="H921:I92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35035.067729276372</v>
      </c>
      <c r="I921" s="3">
        <f ca="1"/>
        <v>4.608331880437682E-2</v>
      </c>
      <c r="L921" s="1">
        <f ca="1"/>
        <v>4272960.5852467874</v>
      </c>
      <c r="N921">
        <f ca="1"/>
        <v>2503398.2465567575</v>
      </c>
    </row>
    <row r="922" spans="7:14" x14ac:dyDescent="0.3">
      <c r="G922">
        <v>918</v>
      </c>
      <c r="H922" s="2" cm="1">
        <f t="array" aca="1" ref="H922:I92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107541084.49786064</v>
      </c>
      <c r="I922" s="3">
        <f ca="1"/>
        <v>0.13096554224591067</v>
      </c>
      <c r="L922" s="1">
        <f ca="1"/>
        <v>51424418.812016487</v>
      </c>
      <c r="N922">
        <f ca="1"/>
        <v>2894611.4704615488</v>
      </c>
    </row>
    <row r="923" spans="7:14" x14ac:dyDescent="0.3">
      <c r="G923">
        <v>919</v>
      </c>
      <c r="H923" s="2" cm="1">
        <f t="array" aca="1" ref="H923:I92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23" s="3">
        <f ca="1"/>
        <v>1.1915648244529429E-2</v>
      </c>
      <c r="L923" s="1">
        <f ca="1"/>
        <v>7390068.5037423838</v>
      </c>
      <c r="N923">
        <f ca="1"/>
        <v>1036136.8467629931</v>
      </c>
    </row>
    <row r="924" spans="7:14" x14ac:dyDescent="0.3">
      <c r="G924">
        <v>920</v>
      </c>
      <c r="H924" s="2" cm="1">
        <f t="array" aca="1" ref="H924:I92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24" s="3">
        <f ca="1"/>
        <v>3.2539945801234468E-2</v>
      </c>
      <c r="L924" s="1">
        <f ca="1"/>
        <v>11690534.098009104</v>
      </c>
      <c r="N924">
        <f ca="1"/>
        <v>8387319.0516701732</v>
      </c>
    </row>
    <row r="925" spans="7:14" x14ac:dyDescent="0.3">
      <c r="G925">
        <v>921</v>
      </c>
      <c r="H925" s="2" cm="1">
        <f t="array" aca="1" ref="H925:I92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4656567.69368676</v>
      </c>
      <c r="I925" s="3">
        <f ca="1"/>
        <v>6.7084466122780018E-2</v>
      </c>
      <c r="L925" s="1">
        <f ca="1"/>
        <v>3356856.2954127048</v>
      </c>
      <c r="N925">
        <f ca="1"/>
        <v>3527273.6210350683</v>
      </c>
    </row>
    <row r="926" spans="7:14" x14ac:dyDescent="0.3">
      <c r="G926">
        <v>922</v>
      </c>
      <c r="H926" s="2" cm="1">
        <f t="array" aca="1" ref="H926:I92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443742.43316383532</v>
      </c>
      <c r="I926" s="3">
        <f ca="1"/>
        <v>6.2362735880059361E-2</v>
      </c>
      <c r="L926" s="1">
        <f ca="1"/>
        <v>2943764.8767424207</v>
      </c>
      <c r="N926">
        <f ca="1"/>
        <v>2597787.3407179415</v>
      </c>
    </row>
    <row r="927" spans="7:14" x14ac:dyDescent="0.3">
      <c r="G927">
        <v>923</v>
      </c>
      <c r="H927" s="2" cm="1">
        <f t="array" aca="1" ref="H927:I92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860021.86982852034</v>
      </c>
      <c r="I927" s="3">
        <f ca="1"/>
        <v>6.1108326350348421E-2</v>
      </c>
      <c r="L927" s="1">
        <f ca="1"/>
        <v>0</v>
      </c>
      <c r="N927">
        <f ca="1"/>
        <v>9854195.4254645333</v>
      </c>
    </row>
    <row r="928" spans="7:14" x14ac:dyDescent="0.3">
      <c r="G928">
        <v>924</v>
      </c>
      <c r="H928" s="2" cm="1">
        <f t="array" aca="1" ref="H928:I92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28" s="3">
        <f ca="1"/>
        <v>9.9173876352414512E-3</v>
      </c>
      <c r="L928" s="1">
        <f ca="1"/>
        <v>10238293.980997648</v>
      </c>
      <c r="N928">
        <f ca="1"/>
        <v>854518.47885430139</v>
      </c>
    </row>
    <row r="929" spans="7:14" x14ac:dyDescent="0.3">
      <c r="G929">
        <v>925</v>
      </c>
      <c r="H929" s="2" cm="1">
        <f t="array" aca="1" ref="H929:I92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1218418.3416399411</v>
      </c>
      <c r="I929" s="3">
        <f ca="1"/>
        <v>6.5438996114229292E-2</v>
      </c>
      <c r="L929" s="1">
        <f ca="1"/>
        <v>2881451.8545301412</v>
      </c>
      <c r="N929">
        <f ca="1"/>
        <v>857283.81213390385</v>
      </c>
    </row>
    <row r="930" spans="7:14" x14ac:dyDescent="0.3">
      <c r="G930">
        <v>926</v>
      </c>
      <c r="H930" s="2" cm="1">
        <f t="array" aca="1" ref="H930:I93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1964852.2006969643</v>
      </c>
      <c r="I930" s="3">
        <f ca="1"/>
        <v>4.9058087133765062E-2</v>
      </c>
      <c r="L930" s="1">
        <f ca="1"/>
        <v>1568012.4748446045</v>
      </c>
      <c r="N930">
        <f ca="1"/>
        <v>5415923.2873078659</v>
      </c>
    </row>
    <row r="931" spans="7:14" x14ac:dyDescent="0.3">
      <c r="G931">
        <v>927</v>
      </c>
      <c r="H931" s="2" cm="1">
        <f t="array" aca="1" ref="H931:I93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1515434.3172020714</v>
      </c>
      <c r="I931" s="3">
        <f ca="1"/>
        <v>4.2294908936139165E-2</v>
      </c>
      <c r="L931" s="1">
        <f ca="1"/>
        <v>19264429.840355854</v>
      </c>
      <c r="N931">
        <f ca="1"/>
        <v>289776.46283571847</v>
      </c>
    </row>
    <row r="932" spans="7:14" x14ac:dyDescent="0.3">
      <c r="G932">
        <v>928</v>
      </c>
      <c r="H932" s="2" cm="1">
        <f t="array" aca="1" ref="H932:I93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10886934.911101731</v>
      </c>
      <c r="I932" s="3">
        <f ca="1"/>
        <v>8.2184369038438898E-2</v>
      </c>
      <c r="L932" s="1">
        <f ca="1"/>
        <v>617004.27193248551</v>
      </c>
      <c r="N932">
        <f ca="1"/>
        <v>0</v>
      </c>
    </row>
    <row r="933" spans="7:14" x14ac:dyDescent="0.3">
      <c r="G933">
        <v>929</v>
      </c>
      <c r="H933" s="2" cm="1">
        <f t="array" aca="1" ref="H933:I93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6569878.4684528997</v>
      </c>
      <c r="I933" s="3">
        <f ca="1"/>
        <v>6.4172038066985543E-2</v>
      </c>
      <c r="L933" s="1">
        <f ca="1"/>
        <v>560579.26568412129</v>
      </c>
      <c r="N933">
        <f ca="1"/>
        <v>1578153.022664489</v>
      </c>
    </row>
    <row r="934" spans="7:14" x14ac:dyDescent="0.3">
      <c r="G934">
        <v>930</v>
      </c>
      <c r="H934" s="2" cm="1">
        <f t="array" aca="1" ref="H934:I93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8466187.5610769931</v>
      </c>
      <c r="I934" s="3">
        <f ca="1"/>
        <v>8.5399929167928462E-2</v>
      </c>
      <c r="L934" s="1">
        <f ca="1"/>
        <v>3712172.5247441321</v>
      </c>
      <c r="N934">
        <f ca="1"/>
        <v>1514512.427182622</v>
      </c>
    </row>
    <row r="935" spans="7:14" x14ac:dyDescent="0.3">
      <c r="G935">
        <v>931</v>
      </c>
      <c r="H935" s="2" cm="1">
        <f t="array" aca="1" ref="H935:I93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5105889.1572116017</v>
      </c>
      <c r="I935" s="3">
        <f ca="1"/>
        <v>5.8502227398689856E-2</v>
      </c>
      <c r="L935" s="1">
        <f ca="1"/>
        <v>3296829.3465546155</v>
      </c>
      <c r="N935">
        <f ca="1"/>
        <v>3325888.8499550526</v>
      </c>
    </row>
    <row r="936" spans="7:14" x14ac:dyDescent="0.3">
      <c r="G936">
        <v>932</v>
      </c>
      <c r="H936" s="2" cm="1">
        <f t="array" aca="1" ref="H936:I93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697153.06782585278</v>
      </c>
      <c r="I936" s="3">
        <f ca="1"/>
        <v>4.7164407642509468E-2</v>
      </c>
      <c r="L936" s="1">
        <f ca="1"/>
        <v>0</v>
      </c>
      <c r="N936">
        <f ca="1"/>
        <v>2716245.7080301163</v>
      </c>
    </row>
    <row r="937" spans="7:14" x14ac:dyDescent="0.3">
      <c r="G937">
        <v>933</v>
      </c>
      <c r="H937" s="2" cm="1">
        <f t="array" aca="1" ref="H937:I93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12418877.887034986</v>
      </c>
      <c r="I937" s="3">
        <f ca="1"/>
        <v>8.0107526272359675E-2</v>
      </c>
      <c r="L937" s="1">
        <f ca="1"/>
        <v>3420234.8986174045</v>
      </c>
      <c r="N937">
        <f ca="1"/>
        <v>987381.1210637684</v>
      </c>
    </row>
    <row r="938" spans="7:14" x14ac:dyDescent="0.3">
      <c r="G938">
        <v>934</v>
      </c>
      <c r="H938" s="2" cm="1">
        <f t="array" aca="1" ref="H938:I93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807401.85814687493</v>
      </c>
      <c r="I938" s="3">
        <f ca="1"/>
        <v>3.9048610475811305E-2</v>
      </c>
      <c r="L938" s="1">
        <f ca="1"/>
        <v>2624584.8380740588</v>
      </c>
      <c r="N938">
        <f ca="1"/>
        <v>0</v>
      </c>
    </row>
    <row r="939" spans="7:14" x14ac:dyDescent="0.3">
      <c r="G939">
        <v>935</v>
      </c>
      <c r="H939" s="2" cm="1">
        <f t="array" aca="1" ref="H939:I93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39" s="3">
        <f ca="1"/>
        <v>2.9225618898994572E-2</v>
      </c>
      <c r="L939" s="1">
        <f ca="1"/>
        <v>2758932.2865950558</v>
      </c>
      <c r="N939">
        <f ca="1"/>
        <v>18691409.739936184</v>
      </c>
    </row>
    <row r="940" spans="7:14" x14ac:dyDescent="0.3">
      <c r="G940">
        <v>936</v>
      </c>
      <c r="H940" s="2" cm="1">
        <f t="array" aca="1" ref="H940:I94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40" s="3">
        <f ca="1"/>
        <v>2.8325360032743808E-2</v>
      </c>
      <c r="L940" s="1">
        <f ca="1"/>
        <v>2379919.3686882248</v>
      </c>
      <c r="N940">
        <f ca="1"/>
        <v>0</v>
      </c>
    </row>
    <row r="941" spans="7:14" x14ac:dyDescent="0.3">
      <c r="G941">
        <v>937</v>
      </c>
      <c r="H941" s="2" cm="1">
        <f t="array" aca="1" ref="H941:I94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37774786.263307735</v>
      </c>
      <c r="I941" s="3">
        <f ca="1"/>
        <v>0.10237698786562995</v>
      </c>
      <c r="L941" s="1">
        <f ca="1"/>
        <v>20074288.219322011</v>
      </c>
      <c r="N941">
        <f ca="1"/>
        <v>972766.30788762728</v>
      </c>
    </row>
    <row r="942" spans="7:14" x14ac:dyDescent="0.3">
      <c r="G942">
        <v>938</v>
      </c>
      <c r="H942" s="2" cm="1">
        <f t="array" aca="1" ref="H942:I94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42" s="3">
        <f ca="1"/>
        <v>1.5853314251512481E-2</v>
      </c>
      <c r="L942" s="1">
        <f ca="1"/>
        <v>13876588.137786873</v>
      </c>
      <c r="N942">
        <f ca="1"/>
        <v>6395311.6001625676</v>
      </c>
    </row>
    <row r="943" spans="7:14" x14ac:dyDescent="0.3">
      <c r="G943">
        <v>939</v>
      </c>
      <c r="H943" s="2" cm="1">
        <f t="array" aca="1" ref="H943:I94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9107381.7239979375</v>
      </c>
      <c r="I943" s="3">
        <f ca="1"/>
        <v>7.9090730813815083E-2</v>
      </c>
      <c r="L943" s="1">
        <f ca="1"/>
        <v>5064817.3426823607</v>
      </c>
      <c r="N943">
        <f ca="1"/>
        <v>15477793.983731844</v>
      </c>
    </row>
    <row r="944" spans="7:14" x14ac:dyDescent="0.3">
      <c r="G944">
        <v>940</v>
      </c>
      <c r="H944" s="2" cm="1">
        <f t="array" aca="1" ref="H944:I94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2755854.078907107</v>
      </c>
      <c r="I944" s="3">
        <f ca="1"/>
        <v>7.1010069082212468E-2</v>
      </c>
      <c r="L944" s="1">
        <f ca="1"/>
        <v>11351114.806365445</v>
      </c>
      <c r="N944">
        <f ca="1"/>
        <v>10877809.616425868</v>
      </c>
    </row>
    <row r="945" spans="7:14" x14ac:dyDescent="0.3">
      <c r="G945">
        <v>941</v>
      </c>
      <c r="H945" s="2" cm="1">
        <f t="array" aca="1" ref="H945:I94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99221.730019791139</v>
      </c>
      <c r="I945" s="3">
        <f ca="1"/>
        <v>3.9769072155276905E-2</v>
      </c>
      <c r="L945" s="1">
        <f ca="1"/>
        <v>10861130.813680576</v>
      </c>
      <c r="N945">
        <f ca="1"/>
        <v>4542525.5663943021</v>
      </c>
    </row>
    <row r="946" spans="7:14" x14ac:dyDescent="0.3">
      <c r="G946">
        <v>942</v>
      </c>
      <c r="H946" s="2" cm="1">
        <f t="array" aca="1" ref="H946:I94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377248.28885317862</v>
      </c>
      <c r="I946" s="3">
        <f ca="1"/>
        <v>3.2742498685262821E-2</v>
      </c>
      <c r="L946" s="1">
        <f ca="1"/>
        <v>877312.96206592384</v>
      </c>
      <c r="N946">
        <f ca="1"/>
        <v>715781.70031858748</v>
      </c>
    </row>
    <row r="947" spans="7:14" x14ac:dyDescent="0.3">
      <c r="G947">
        <v>943</v>
      </c>
      <c r="H947" s="2" cm="1">
        <f t="array" aca="1" ref="H947:I94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47" s="3">
        <f ca="1"/>
        <v>3.1945706731240961E-2</v>
      </c>
      <c r="L947" s="1">
        <f ca="1"/>
        <v>328814.32198732975</v>
      </c>
      <c r="N947">
        <f ca="1"/>
        <v>4413459.992632878</v>
      </c>
    </row>
    <row r="948" spans="7:14" x14ac:dyDescent="0.3">
      <c r="G948">
        <v>944</v>
      </c>
      <c r="H948" s="2" cm="1">
        <f t="array" aca="1" ref="H948:I94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1336480.6386434273</v>
      </c>
      <c r="I948" s="3">
        <f ca="1"/>
        <v>4.6199321698505894E-2</v>
      </c>
      <c r="L948" s="1">
        <f ca="1"/>
        <v>1943249.2899392159</v>
      </c>
      <c r="N948">
        <f ca="1"/>
        <v>3026670.0140383579</v>
      </c>
    </row>
    <row r="949" spans="7:14" x14ac:dyDescent="0.3">
      <c r="G949">
        <v>945</v>
      </c>
      <c r="H949" s="2" cm="1">
        <f t="array" aca="1" ref="H949:I94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49" s="3">
        <f ca="1"/>
        <v>5.3674061843940947E-2</v>
      </c>
      <c r="L949" s="1">
        <f ca="1"/>
        <v>7010263.4408620419</v>
      </c>
      <c r="N949">
        <f ca="1"/>
        <v>25351100.944176912</v>
      </c>
    </row>
    <row r="950" spans="7:14" x14ac:dyDescent="0.3">
      <c r="G950">
        <v>946</v>
      </c>
      <c r="H950" s="2" cm="1">
        <f t="array" aca="1" ref="H950:I95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50" s="3">
        <f ca="1"/>
        <v>3.8236330059559162E-2</v>
      </c>
      <c r="L950" s="1">
        <f ca="1"/>
        <v>1788702.5871053876</v>
      </c>
      <c r="N950">
        <f ca="1"/>
        <v>0</v>
      </c>
    </row>
    <row r="951" spans="7:14" x14ac:dyDescent="0.3">
      <c r="G951">
        <v>947</v>
      </c>
      <c r="H951" s="2" cm="1">
        <f t="array" aca="1" ref="H951:I95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51" s="3">
        <f ca="1"/>
        <v>7.9385157440335224E-3</v>
      </c>
      <c r="L951" s="1">
        <f ca="1"/>
        <v>1128510.0568313869</v>
      </c>
      <c r="N951">
        <f ca="1"/>
        <v>55996068.354434311</v>
      </c>
    </row>
    <row r="952" spans="7:14" x14ac:dyDescent="0.3">
      <c r="G952">
        <v>948</v>
      </c>
      <c r="H952" s="2" cm="1">
        <f t="array" aca="1" ref="H952:I95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6162398.1944378344</v>
      </c>
      <c r="I952" s="3">
        <f ca="1"/>
        <v>7.2193842006774839E-2</v>
      </c>
      <c r="L952" s="1">
        <f ca="1"/>
        <v>10622846.342404416</v>
      </c>
      <c r="N952">
        <f ca="1"/>
        <v>3274490.826456368</v>
      </c>
    </row>
    <row r="953" spans="7:14" x14ac:dyDescent="0.3">
      <c r="G953">
        <v>949</v>
      </c>
      <c r="H953" s="2" cm="1">
        <f t="array" aca="1" ref="H953:I95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4262404.7341941092</v>
      </c>
      <c r="I953" s="3">
        <f ca="1"/>
        <v>7.2689930563861319E-2</v>
      </c>
      <c r="L953" s="1">
        <f ca="1"/>
        <v>5047854.1677677631</v>
      </c>
      <c r="N953">
        <f ca="1"/>
        <v>1736361.1344099329</v>
      </c>
    </row>
    <row r="954" spans="7:14" x14ac:dyDescent="0.3">
      <c r="G954">
        <v>950</v>
      </c>
      <c r="H954" s="2" cm="1">
        <f t="array" aca="1" ref="H954:I95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47308315.873083025</v>
      </c>
      <c r="I954" s="3">
        <f ca="1"/>
        <v>0.10537339856059136</v>
      </c>
      <c r="L954" s="1">
        <f ca="1"/>
        <v>2703747.7556087212</v>
      </c>
      <c r="N954">
        <f ca="1"/>
        <v>77434458.093035668</v>
      </c>
    </row>
    <row r="955" spans="7:14" x14ac:dyDescent="0.3">
      <c r="G955">
        <v>951</v>
      </c>
      <c r="H955" s="2" cm="1">
        <f t="array" aca="1" ref="H955:I95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167942.70173612281</v>
      </c>
      <c r="I955" s="3">
        <f ca="1"/>
        <v>3.6634954528879521E-2</v>
      </c>
      <c r="L955" s="1">
        <f ca="1"/>
        <v>1173625.4680507765</v>
      </c>
      <c r="N955">
        <f ca="1"/>
        <v>557777.63590587501</v>
      </c>
    </row>
    <row r="956" spans="7:14" x14ac:dyDescent="0.3">
      <c r="G956">
        <v>952</v>
      </c>
      <c r="H956" s="2" cm="1">
        <f t="array" aca="1" ref="H956:I95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26096876.494830862</v>
      </c>
      <c r="I956" s="3">
        <f ca="1"/>
        <v>9.6188561708472217E-2</v>
      </c>
      <c r="L956" s="1">
        <f ca="1"/>
        <v>0</v>
      </c>
      <c r="N956">
        <f ca="1"/>
        <v>4790086.0130799226</v>
      </c>
    </row>
    <row r="957" spans="7:14" x14ac:dyDescent="0.3">
      <c r="G957">
        <v>953</v>
      </c>
      <c r="H957" s="2" cm="1">
        <f t="array" aca="1" ref="H957:I95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57" s="3">
        <f ca="1"/>
        <v>4.9930627819385134E-2</v>
      </c>
      <c r="L957" s="1">
        <f ca="1"/>
        <v>4633879.0984572433</v>
      </c>
      <c r="N957">
        <f ca="1"/>
        <v>0</v>
      </c>
    </row>
    <row r="958" spans="7:14" x14ac:dyDescent="0.3">
      <c r="G958">
        <v>954</v>
      </c>
      <c r="H958" s="2" cm="1">
        <f t="array" aca="1" ref="H958:I95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808560.01117520838</v>
      </c>
      <c r="I958" s="3">
        <f ca="1"/>
        <v>5.6980956338399079E-2</v>
      </c>
      <c r="L958" s="1">
        <f ca="1"/>
        <v>45124946.52237457</v>
      </c>
      <c r="N958">
        <f ca="1"/>
        <v>8303140.8397630565</v>
      </c>
    </row>
    <row r="959" spans="7:14" x14ac:dyDescent="0.3">
      <c r="G959">
        <v>955</v>
      </c>
      <c r="H959" s="2" cm="1">
        <f t="array" aca="1" ref="H959:I95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12243242.220765298</v>
      </c>
      <c r="I959" s="3">
        <f ca="1"/>
        <v>9.2248354767958216E-2</v>
      </c>
      <c r="L959" s="1">
        <f ca="1"/>
        <v>23646680.864975005</v>
      </c>
      <c r="N959">
        <f ca="1"/>
        <v>0</v>
      </c>
    </row>
    <row r="960" spans="7:14" x14ac:dyDescent="0.3">
      <c r="G960">
        <v>956</v>
      </c>
      <c r="H960" s="2" cm="1">
        <f t="array" aca="1" ref="H960:I96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60" s="3">
        <f ca="1"/>
        <v>3.1121919889703902E-2</v>
      </c>
      <c r="L960" s="1">
        <f ca="1"/>
        <v>2997198.8047885015</v>
      </c>
      <c r="N960">
        <f ca="1"/>
        <v>363912.13009319321</v>
      </c>
    </row>
    <row r="961" spans="7:14" x14ac:dyDescent="0.3">
      <c r="G961">
        <v>957</v>
      </c>
      <c r="H961" s="2" cm="1">
        <f t="array" aca="1" ref="H961:I96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1289.0932774013927</v>
      </c>
      <c r="I961" s="3">
        <f ca="1"/>
        <v>4.0747317779170754E-2</v>
      </c>
      <c r="L961" s="1">
        <f ca="1"/>
        <v>8582775.1760853492</v>
      </c>
      <c r="N961">
        <f ca="1"/>
        <v>6314973.0334201511</v>
      </c>
    </row>
    <row r="962" spans="7:14" x14ac:dyDescent="0.3">
      <c r="G962">
        <v>958</v>
      </c>
      <c r="H962" s="2" cm="1">
        <f t="array" aca="1" ref="H962:I96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8308925.1317212656</v>
      </c>
      <c r="I962" s="3">
        <f ca="1"/>
        <v>7.5606738751990948E-2</v>
      </c>
      <c r="L962" s="1">
        <f ca="1"/>
        <v>728811.34776023461</v>
      </c>
      <c r="N962">
        <f ca="1"/>
        <v>1788115.3663343138</v>
      </c>
    </row>
    <row r="963" spans="7:14" x14ac:dyDescent="0.3">
      <c r="G963">
        <v>959</v>
      </c>
      <c r="H963" s="2" cm="1">
        <f t="array" aca="1" ref="H963:I96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1018544.4923844091</v>
      </c>
      <c r="I963" s="3">
        <f ca="1"/>
        <v>5.2881343798248173E-2</v>
      </c>
      <c r="L963" s="1">
        <f ca="1"/>
        <v>10609220.209165912</v>
      </c>
      <c r="N963">
        <f ca="1"/>
        <v>1080492.9476359796</v>
      </c>
    </row>
    <row r="964" spans="7:14" x14ac:dyDescent="0.3">
      <c r="G964">
        <v>960</v>
      </c>
      <c r="H964" s="2" cm="1">
        <f t="array" aca="1" ref="H964:I96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23586830.829856597</v>
      </c>
      <c r="I964" s="3">
        <f ca="1"/>
        <v>9.0501432548617838E-2</v>
      </c>
      <c r="L964" s="1">
        <f ca="1"/>
        <v>0</v>
      </c>
      <c r="N964">
        <f ca="1"/>
        <v>0</v>
      </c>
    </row>
    <row r="965" spans="7:14" x14ac:dyDescent="0.3">
      <c r="G965">
        <v>961</v>
      </c>
      <c r="H965" s="2" cm="1">
        <f t="array" aca="1" ref="H965:I96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600873.48587433982</v>
      </c>
      <c r="I965" s="3">
        <f ca="1"/>
        <v>6.0375819860927139E-2</v>
      </c>
      <c r="L965" s="1">
        <f ca="1"/>
        <v>605419.17216035398</v>
      </c>
      <c r="N965">
        <f ca="1"/>
        <v>32491254.835322518</v>
      </c>
    </row>
    <row r="966" spans="7:14" x14ac:dyDescent="0.3">
      <c r="G966">
        <v>962</v>
      </c>
      <c r="H966" s="2" cm="1">
        <f t="array" aca="1" ref="H966:I96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870172.82307188399</v>
      </c>
      <c r="I966" s="3">
        <f ca="1"/>
        <v>4.4722476449139945E-2</v>
      </c>
      <c r="L966" s="1">
        <f ca="1"/>
        <v>5507340.5603948412</v>
      </c>
      <c r="N966">
        <f ca="1"/>
        <v>5276628.0249405066</v>
      </c>
    </row>
    <row r="967" spans="7:14" x14ac:dyDescent="0.3">
      <c r="G967">
        <v>963</v>
      </c>
      <c r="H967" s="2" cm="1">
        <f t="array" aca="1" ref="H967:I96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3780750.0925751789</v>
      </c>
      <c r="I967" s="3">
        <f ca="1"/>
        <v>6.4250150809658804E-2</v>
      </c>
      <c r="L967" s="1">
        <f ca="1"/>
        <v>8256458.4493560232</v>
      </c>
      <c r="N967">
        <f ca="1"/>
        <v>5808585.7847972596</v>
      </c>
    </row>
    <row r="968" spans="7:14" x14ac:dyDescent="0.3">
      <c r="G968">
        <v>964</v>
      </c>
      <c r="H968" s="2" cm="1">
        <f t="array" aca="1" ref="H968:I96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15141029.391606737</v>
      </c>
      <c r="I968" s="3">
        <f ca="1"/>
        <v>8.2647917706859628E-2</v>
      </c>
      <c r="L968" s="1">
        <f ca="1"/>
        <v>4453484.458449671</v>
      </c>
      <c r="N968">
        <f ca="1"/>
        <v>0</v>
      </c>
    </row>
    <row r="969" spans="7:14" x14ac:dyDescent="0.3">
      <c r="G969">
        <v>965</v>
      </c>
      <c r="H969" s="2" cm="1">
        <f t="array" aca="1" ref="H969:I96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148810.68930089174</v>
      </c>
      <c r="I969" s="3">
        <f ca="1"/>
        <v>1.9114552509711731E-2</v>
      </c>
      <c r="L969" s="1">
        <f ca="1"/>
        <v>11795410.321580887</v>
      </c>
      <c r="N969">
        <f ca="1"/>
        <v>0</v>
      </c>
    </row>
    <row r="970" spans="7:14" x14ac:dyDescent="0.3">
      <c r="G970">
        <v>966</v>
      </c>
      <c r="H970" s="2" cm="1">
        <f t="array" aca="1" ref="H970:I97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2173120.1132186437</v>
      </c>
      <c r="I970" s="3">
        <f ca="1"/>
        <v>6.7639904784479482E-2</v>
      </c>
      <c r="L970" s="1">
        <f ca="1"/>
        <v>2253942.9722004863</v>
      </c>
      <c r="N970">
        <f ca="1"/>
        <v>11277349.652230509</v>
      </c>
    </row>
    <row r="971" spans="7:14" x14ac:dyDescent="0.3">
      <c r="G971">
        <v>967</v>
      </c>
      <c r="H971" s="2" cm="1">
        <f t="array" aca="1" ref="H971:I97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6361955.9133661641</v>
      </c>
      <c r="I971" s="3">
        <f ca="1"/>
        <v>6.7242104143375794E-2</v>
      </c>
      <c r="L971" s="1">
        <f ca="1"/>
        <v>0</v>
      </c>
      <c r="N971">
        <f ca="1"/>
        <v>9002773.714687543</v>
      </c>
    </row>
    <row r="972" spans="7:14" x14ac:dyDescent="0.3">
      <c r="G972">
        <v>968</v>
      </c>
      <c r="H972" s="2" cm="1">
        <f t="array" aca="1" ref="H972:I97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72" s="3">
        <f ca="1"/>
        <v>6.7445167019553028E-3</v>
      </c>
      <c r="L972" s="1">
        <f ca="1"/>
        <v>2768436.089168774</v>
      </c>
      <c r="N972">
        <f ca="1"/>
        <v>6626138.0091126636</v>
      </c>
    </row>
    <row r="973" spans="7:14" x14ac:dyDescent="0.3">
      <c r="G973">
        <v>969</v>
      </c>
      <c r="H973" s="2" cm="1">
        <f t="array" aca="1" ref="H973:I97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931901.99206743157</v>
      </c>
      <c r="I973" s="3">
        <f ca="1"/>
        <v>6.1117354665654891E-2</v>
      </c>
      <c r="L973" s="1">
        <f ca="1"/>
        <v>968001.00101216394</v>
      </c>
      <c r="N973">
        <f ca="1"/>
        <v>5258839.8377457028</v>
      </c>
    </row>
    <row r="974" spans="7:14" x14ac:dyDescent="0.3">
      <c r="G974">
        <v>970</v>
      </c>
      <c r="H974" s="2" cm="1">
        <f t="array" aca="1" ref="H974:I97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13833597.791208956</v>
      </c>
      <c r="I974" s="3">
        <f ca="1"/>
        <v>8.1559485931328335E-2</v>
      </c>
      <c r="L974" s="1">
        <f ca="1"/>
        <v>3093815.5135770333</v>
      </c>
      <c r="N974">
        <f ca="1"/>
        <v>4764238.6298349146</v>
      </c>
    </row>
    <row r="975" spans="7:14" x14ac:dyDescent="0.3">
      <c r="G975">
        <v>971</v>
      </c>
      <c r="H975" s="2" cm="1">
        <f t="array" aca="1" ref="H975:I97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2496950.6314958734</v>
      </c>
      <c r="I975" s="3">
        <f ca="1"/>
        <v>6.1421421321081179E-2</v>
      </c>
      <c r="L975" s="1">
        <f ca="1"/>
        <v>802107.95256458316</v>
      </c>
      <c r="N975">
        <f ca="1"/>
        <v>8149525.4918682948</v>
      </c>
    </row>
    <row r="976" spans="7:14" x14ac:dyDescent="0.3">
      <c r="G976">
        <v>972</v>
      </c>
      <c r="H976" s="2" cm="1">
        <f t="array" aca="1" ref="H976:I97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7273277.4814463323</v>
      </c>
      <c r="I976" s="3">
        <f ca="1"/>
        <v>7.4661114569695236E-2</v>
      </c>
      <c r="L976" s="1">
        <f ca="1"/>
        <v>6316172.4328950513</v>
      </c>
      <c r="N976">
        <f ca="1"/>
        <v>5308324.8330078376</v>
      </c>
    </row>
    <row r="977" spans="7:14" x14ac:dyDescent="0.3">
      <c r="G977">
        <v>973</v>
      </c>
      <c r="H977" s="2" cm="1">
        <f t="array" aca="1" ref="H977:I97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77" s="3">
        <f ca="1"/>
        <v>3.3988690675261043E-2</v>
      </c>
      <c r="L977" s="1">
        <f ca="1"/>
        <v>358084.47712895845</v>
      </c>
      <c r="N977">
        <f ca="1"/>
        <v>451388.07813124399</v>
      </c>
    </row>
    <row r="978" spans="7:14" x14ac:dyDescent="0.3">
      <c r="G978">
        <v>974</v>
      </c>
      <c r="H978" s="2" cm="1">
        <f t="array" aca="1" ref="H978:I97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94848136.595260993</v>
      </c>
      <c r="I978" s="3">
        <f ca="1"/>
        <v>0.12685236375412581</v>
      </c>
      <c r="L978" s="1">
        <f ca="1"/>
        <v>2977475.2384092789</v>
      </c>
      <c r="N978">
        <f ca="1"/>
        <v>0</v>
      </c>
    </row>
    <row r="979" spans="7:14" x14ac:dyDescent="0.3">
      <c r="G979">
        <v>975</v>
      </c>
      <c r="H979" s="2" cm="1">
        <f t="array" aca="1" ref="H979:I97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45343664.271268077</v>
      </c>
      <c r="I979" s="3">
        <f ca="1"/>
        <v>0.11392498680463385</v>
      </c>
      <c r="L979" s="1">
        <f ca="1"/>
        <v>5211221.7054437455</v>
      </c>
      <c r="N979">
        <f ca="1"/>
        <v>18077625.939689141</v>
      </c>
    </row>
    <row r="980" spans="7:14" x14ac:dyDescent="0.3">
      <c r="G980">
        <v>976</v>
      </c>
      <c r="H980" s="2" cm="1">
        <f t="array" aca="1" ref="H980:I98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6083619.1676980061</v>
      </c>
      <c r="I980" s="3">
        <f ca="1"/>
        <v>6.3303746194316238E-2</v>
      </c>
      <c r="L980" s="1">
        <f ca="1"/>
        <v>8106318.7979627382</v>
      </c>
      <c r="N980">
        <f ca="1"/>
        <v>6076334.9923143685</v>
      </c>
    </row>
    <row r="981" spans="7:14" x14ac:dyDescent="0.3">
      <c r="G981">
        <v>977</v>
      </c>
      <c r="H981" s="2" cm="1">
        <f t="array" aca="1" ref="H981:I98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3880629.3044465338</v>
      </c>
      <c r="I981" s="3">
        <f ca="1"/>
        <v>6.1325285424326206E-2</v>
      </c>
      <c r="L981" s="1">
        <f ca="1"/>
        <v>7416376.2275839206</v>
      </c>
      <c r="N981">
        <f ca="1"/>
        <v>3981721.4515519305</v>
      </c>
    </row>
    <row r="982" spans="7:14" x14ac:dyDescent="0.3">
      <c r="G982">
        <v>978</v>
      </c>
      <c r="H982" s="2" cm="1">
        <f t="array" aca="1" ref="H982:I98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3194239.2492542369</v>
      </c>
      <c r="I982" s="3">
        <f ca="1"/>
        <v>6.6117408038286779E-2</v>
      </c>
      <c r="L982" s="1">
        <f ca="1"/>
        <v>0</v>
      </c>
      <c r="N982">
        <f ca="1"/>
        <v>13679642.221181741</v>
      </c>
    </row>
    <row r="983" spans="7:14" x14ac:dyDescent="0.3">
      <c r="G983">
        <v>979</v>
      </c>
      <c r="H983" s="2" cm="1">
        <f t="array" aca="1" ref="H983:I98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7220210.5889630038</v>
      </c>
      <c r="I983" s="3">
        <f ca="1"/>
        <v>6.3160659748392439E-2</v>
      </c>
      <c r="L983" s="1">
        <f ca="1"/>
        <v>4284553.9984851526</v>
      </c>
      <c r="N983">
        <f ca="1"/>
        <v>584150.77146444528</v>
      </c>
    </row>
    <row r="984" spans="7:14" x14ac:dyDescent="0.3">
      <c r="G984">
        <v>980</v>
      </c>
      <c r="H984" s="2" cm="1">
        <f t="array" aca="1" ref="H984:I98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539451.08238010632</v>
      </c>
      <c r="I984" s="3">
        <f ca="1"/>
        <v>4.9049504868909154E-2</v>
      </c>
      <c r="L984" s="1">
        <f ca="1"/>
        <v>2824001.8552513691</v>
      </c>
      <c r="N984">
        <f ca="1"/>
        <v>230117.34850661899</v>
      </c>
    </row>
    <row r="985" spans="7:14" x14ac:dyDescent="0.3">
      <c r="G985">
        <v>981</v>
      </c>
      <c r="H985" s="2" cm="1">
        <f t="array" aca="1" ref="H985:I98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2046114.7799965935</v>
      </c>
      <c r="I985" s="3">
        <f ca="1"/>
        <v>6.0459040522494775E-2</v>
      </c>
      <c r="L985" s="1">
        <f ca="1"/>
        <v>5023518.81006331</v>
      </c>
      <c r="N985">
        <f ca="1"/>
        <v>0</v>
      </c>
    </row>
    <row r="986" spans="7:14" x14ac:dyDescent="0.3">
      <c r="G986">
        <v>982</v>
      </c>
      <c r="H986" s="2" cm="1">
        <f t="array" aca="1" ref="H986:I98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10894569.406621784</v>
      </c>
      <c r="I986" s="3">
        <f ca="1"/>
        <v>7.2053009597322137E-2</v>
      </c>
      <c r="L986" s="1">
        <f ca="1"/>
        <v>1758119.2978042401</v>
      </c>
      <c r="N986">
        <f ca="1"/>
        <v>6973202.127896348</v>
      </c>
    </row>
    <row r="987" spans="7:14" x14ac:dyDescent="0.3">
      <c r="G987">
        <v>983</v>
      </c>
      <c r="H987" s="2" cm="1">
        <f t="array" aca="1" ref="H987:I98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1668643.3428141028</v>
      </c>
      <c r="I987" s="3">
        <f ca="1"/>
        <v>5.0958193341669691E-2</v>
      </c>
      <c r="L987" s="1">
        <f ca="1"/>
        <v>0</v>
      </c>
      <c r="N987">
        <f ca="1"/>
        <v>2635459.2853913703</v>
      </c>
    </row>
    <row r="988" spans="7:14" x14ac:dyDescent="0.3">
      <c r="G988">
        <v>984</v>
      </c>
      <c r="H988" s="2" cm="1">
        <f t="array" aca="1" ref="H988:I98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25771.336121687462</v>
      </c>
      <c r="I988" s="3">
        <f ca="1"/>
        <v>4.0800291606462952E-2</v>
      </c>
      <c r="L988" s="1">
        <f ca="1"/>
        <v>251514.32836816902</v>
      </c>
      <c r="N988">
        <f ca="1"/>
        <v>0</v>
      </c>
    </row>
    <row r="989" spans="7:14" x14ac:dyDescent="0.3">
      <c r="G989">
        <v>985</v>
      </c>
      <c r="H989" s="2" cm="1">
        <f t="array" aca="1" ref="H989:I98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8154212.2667969828</v>
      </c>
      <c r="I989" s="3">
        <f ca="1"/>
        <v>7.2568230773516915E-2</v>
      </c>
      <c r="L989" s="1">
        <f ca="1"/>
        <v>2522904.062625871</v>
      </c>
      <c r="N989">
        <f ca="1"/>
        <v>624376.70095353783</v>
      </c>
    </row>
    <row r="990" spans="7:14" x14ac:dyDescent="0.3">
      <c r="G990">
        <v>986</v>
      </c>
      <c r="H990" s="2" cm="1">
        <f t="array" aca="1" ref="H990:I99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2190017.4140751446</v>
      </c>
      <c r="I990" s="3">
        <f ca="1"/>
        <v>4.6586432401121938E-2</v>
      </c>
      <c r="L990" s="1">
        <f ca="1"/>
        <v>36096652.435650393</v>
      </c>
      <c r="N990">
        <f ca="1"/>
        <v>0</v>
      </c>
    </row>
    <row r="991" spans="7:14" x14ac:dyDescent="0.3">
      <c r="G991">
        <v>987</v>
      </c>
      <c r="H991" s="2" cm="1">
        <f t="array" aca="1" ref="H991:I99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91" s="3">
        <f ca="1"/>
        <v>2.5313150855824994E-2</v>
      </c>
      <c r="L991" s="1">
        <f ca="1"/>
        <v>36438701.465111062</v>
      </c>
      <c r="N991">
        <f ca="1"/>
        <v>24686369.46269194</v>
      </c>
    </row>
    <row r="992" spans="7:14" x14ac:dyDescent="0.3">
      <c r="G992">
        <v>988</v>
      </c>
      <c r="H992" s="2" cm="1">
        <f t="array" aca="1" ref="H992:I99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92" s="3">
        <f ca="1"/>
        <v>4.3313046204076978E-2</v>
      </c>
      <c r="L992" s="1">
        <f ca="1"/>
        <v>1232910.4867457673</v>
      </c>
      <c r="N992">
        <f ca="1"/>
        <v>12656288.143120797</v>
      </c>
    </row>
    <row r="993" spans="7:14" x14ac:dyDescent="0.3">
      <c r="G993">
        <v>989</v>
      </c>
      <c r="H993" s="2" cm="1">
        <f t="array" aca="1" ref="H993:I99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3758329.0229151389</v>
      </c>
      <c r="I993" s="3">
        <f ca="1"/>
        <v>6.3261931644271935E-2</v>
      </c>
      <c r="L993" s="1">
        <f ca="1"/>
        <v>0</v>
      </c>
      <c r="N993">
        <f ca="1"/>
        <v>2431714.5000073006</v>
      </c>
    </row>
    <row r="994" spans="7:14" x14ac:dyDescent="0.3">
      <c r="G994">
        <v>990</v>
      </c>
      <c r="H994" s="2" cm="1">
        <f t="array" aca="1" ref="H994:I99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21654411.82536798</v>
      </c>
      <c r="I994" s="3">
        <f ca="1"/>
        <v>9.137166414019901E-2</v>
      </c>
      <c r="L994" s="1">
        <f ca="1"/>
        <v>0</v>
      </c>
      <c r="N994">
        <f ca="1"/>
        <v>430259.47949102329</v>
      </c>
    </row>
    <row r="995" spans="7:14" x14ac:dyDescent="0.3">
      <c r="G995">
        <v>991</v>
      </c>
      <c r="H995" s="2" cm="1">
        <f t="array" aca="1" ref="H995:I995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995" s="3">
        <f ca="1"/>
        <v>5.0912450784667974E-2</v>
      </c>
      <c r="L995" s="1">
        <f ca="1"/>
        <v>0</v>
      </c>
      <c r="N995">
        <f ca="1"/>
        <v>7599404.0486410968</v>
      </c>
    </row>
    <row r="996" spans="7:14" x14ac:dyDescent="0.3">
      <c r="G996">
        <v>992</v>
      </c>
      <c r="H996" s="2" cm="1">
        <f t="array" aca="1" ref="H996:I996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1257694.6771669711</v>
      </c>
      <c r="I996" s="3">
        <f ca="1"/>
        <v>7.2093468755158013E-2</v>
      </c>
      <c r="L996" s="1">
        <f ca="1"/>
        <v>12912618.343259398</v>
      </c>
      <c r="N996">
        <f ca="1"/>
        <v>2182169.7400209103</v>
      </c>
    </row>
    <row r="997" spans="7:14" x14ac:dyDescent="0.3">
      <c r="G997">
        <v>993</v>
      </c>
      <c r="H997" s="2" cm="1">
        <f t="array" aca="1" ref="H997:I997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18245087.659255914</v>
      </c>
      <c r="I997" s="3">
        <f ca="1"/>
        <v>9.516564638670709E-2</v>
      </c>
      <c r="L997" s="1">
        <f ca="1"/>
        <v>432391.29175845842</v>
      </c>
      <c r="N997">
        <f ca="1"/>
        <v>8198072.421598373</v>
      </c>
    </row>
    <row r="998" spans="7:14" x14ac:dyDescent="0.3">
      <c r="G998">
        <v>994</v>
      </c>
      <c r="H998" s="2" cm="1">
        <f t="array" aca="1" ref="H998:I998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7578332.8598641017</v>
      </c>
      <c r="I998" s="3">
        <f ca="1"/>
        <v>6.9147348695866279E-2</v>
      </c>
      <c r="L998" s="1">
        <f ca="1"/>
        <v>0</v>
      </c>
      <c r="N998">
        <f ca="1"/>
        <v>3172401.8086585761</v>
      </c>
    </row>
    <row r="999" spans="7:14" x14ac:dyDescent="0.3">
      <c r="G999">
        <v>995</v>
      </c>
      <c r="H999" s="2" cm="1">
        <f t="array" aca="1" ref="H999:I999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1918997.7408026198</v>
      </c>
      <c r="I999" s="3">
        <f ca="1"/>
        <v>5.031118884999812E-2</v>
      </c>
      <c r="L999" s="1">
        <f ca="1"/>
        <v>2575966.5909673846</v>
      </c>
      <c r="N999">
        <f ca="1"/>
        <v>6250178.338197384</v>
      </c>
    </row>
    <row r="1000" spans="7:14" x14ac:dyDescent="0.3">
      <c r="G1000">
        <v>996</v>
      </c>
      <c r="H1000" s="2" cm="1">
        <f t="array" aca="1" ref="H1000:I1000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4173729.9274491677</v>
      </c>
      <c r="I1000" s="3">
        <f ca="1"/>
        <v>6.9885310184335192E-2</v>
      </c>
      <c r="L1000" s="1">
        <f ca="1"/>
        <v>0</v>
      </c>
      <c r="N1000">
        <f ca="1"/>
        <v>0</v>
      </c>
    </row>
    <row r="1001" spans="7:14" x14ac:dyDescent="0.3">
      <c r="G1001">
        <v>997</v>
      </c>
      <c r="H1001" s="2" cm="1">
        <f t="array" aca="1" ref="H1001:I1001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01" s="3">
        <f ca="1"/>
        <v>1.5955416575788132E-3</v>
      </c>
      <c r="L1001" s="1">
        <f ca="1"/>
        <v>116504.64140473666</v>
      </c>
      <c r="N1001">
        <f ca="1"/>
        <v>1496985.7894345087</v>
      </c>
    </row>
    <row r="1002" spans="7:14" x14ac:dyDescent="0.3">
      <c r="G1002">
        <v>998</v>
      </c>
      <c r="H1002" s="2" cm="1">
        <f t="array" aca="1" ref="H1002:I1002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02" s="3">
        <f ca="1"/>
        <v>3.6453674357676692E-2</v>
      </c>
      <c r="L1002" s="1"/>
    </row>
    <row r="1003" spans="7:14" x14ac:dyDescent="0.3">
      <c r="G1003">
        <v>999</v>
      </c>
      <c r="H1003" s="2" cm="1">
        <f t="array" aca="1" ref="H1003:I1003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0</v>
      </c>
      <c r="I1003" s="3">
        <f ca="1"/>
        <v>4.6638395705923055E-2</v>
      </c>
      <c r="L1003" s="1"/>
    </row>
    <row r="1004" spans="7:14" x14ac:dyDescent="0.3">
      <c r="G1004">
        <v>1000</v>
      </c>
      <c r="H1004" s="2" cm="1">
        <f t="array" aca="1" ref="H1004:I1004" ca="1">_xlfn.LET(
    _xlpm.simulation, _xlfn.REDUCE(_xlfn.HSTACK($C$3, $C$4, $C$5, 0), _xlfn.SEQUENCE(40), _xlfn.LAMBDA(_xlpm.b,_xlpm.y,
        _xlfn.LET(
            _xlpm.mkt, _xlfn.NORM.INV(RAND(), $C$6, $C$7),
            _xlpm.curr_c, INDEX(_xlpm.b, 1) * (1 + $C$9),
            _xlpm.curr_t, INDEX(_xlpm.b, 2) * (1 + _xlpm.mkt),
            _xlpm.curr_i, INDEX(_xlpm.b, 3) * (1 + _xlpm.mkt),
            _xlpm.total_wealth, _xlpm.curr_c + _xlpm.curr_t + _xlpm.curr_i,
            _xlpm.target_spend, $C$2 * (1 + $C$8)^(_xlpm.y-1),
            _xlpm.adj_spend, IF(_xlpm.total_wealth &lt; 1100000, _xlpm.target_spend * 0.9, _xlpm.target_spend),
            _xlpm.ss_check, IF(_xlpm.y &gt;= $C$10, $C$11 * (1 + $C$8)^(_xlpm.y-1), 0),
            _xlpm.raw_draw, MAX(0, _xlpm.adj_spend - _xlpm.ss_check),
            _xlpm.s, IF((_xlpm.curr_c + _xlpm.curr_t) &lt; _xlpm.raw_draw, _xlpm.raw_draw * 1.15, _xlpm.raw_draw),
            _xlpm.nc, MAX(0, _xlpm.curr_c - _xlpm.s),
            _xlpm.nt, MAX(0, _xlpm.curr_t - MAX(0, _xlpm.s - _xlpm.curr_c)),
            _xlpm.ni, MAX(0, _xlpm.curr_i - MAX(0, (_xlpm.s - _xlpm.curr_c) - _xlpm.curr_t)),
            _xlpm.cum_ret, INDEX(_xlpm.b, 4) + _xlpm.mkt,
            _xlfn.HSTACK(_xlpm.nc, _xlpm.nt, _xlpm.ni, _xlpm.cum_ret)
        )
    )),
    _xlpm.final_wealth, INDEX(_xlpm.simulation, 1) + INDEX(_xlpm.simulation, 2) + INDEX(_xlpm.simulation, 3),
    _xlpm.avg_mkt_return, INDEX(_xlpm.simulation, 4) / 40,
    _xlfn.HSTACK(_xlpm.final_wealth, _xlpm.avg_mkt_return)
)</f>
        <v>1745734.4305903353</v>
      </c>
      <c r="I1004" s="3">
        <f ca="1"/>
        <v>6.7254657790065508E-2</v>
      </c>
      <c r="L1004" s="1"/>
    </row>
    <row r="1005" spans="7:14" x14ac:dyDescent="0.3">
      <c r="H1005" s="2"/>
    </row>
    <row r="1006" spans="7:14" x14ac:dyDescent="0.3">
      <c r="H1006" s="2"/>
    </row>
    <row r="1007" spans="7:14" x14ac:dyDescent="0.3">
      <c r="H1007" s="2"/>
    </row>
    <row r="1008" spans="7:14" x14ac:dyDescent="0.3">
      <c r="H1008" s="2"/>
    </row>
    <row r="1009" spans="8:8" x14ac:dyDescent="0.3">
      <c r="H1009" s="2"/>
    </row>
  </sheetData>
  <mergeCells count="2">
    <mergeCell ref="B1:C1"/>
    <mergeCell ref="E1:F1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Monte Carlo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Gurten, Erdal</cp:lastModifiedBy>
  <cp:revision/>
  <dcterms:created xsi:type="dcterms:W3CDTF">2026-02-08T19:26:47Z</dcterms:created>
  <dcterms:modified xsi:type="dcterms:W3CDTF">2026-02-13T21:30:58Z</dcterms:modified>
  <cp:category/>
  <cp:contentStatus/>
</cp:coreProperties>
</file>